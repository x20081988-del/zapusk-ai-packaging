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алькулятор инвестора" sheetId="1" r:id="rId4"/>
    <sheet state="visible" name="Вводные" sheetId="2" r:id="rId5"/>
    <sheet state="visible" name="Фин.модель" sheetId="3" r:id="rId6"/>
    <sheet state="visible" name="Инвест.бюджет" sheetId="4" r:id="rId7"/>
  </sheets>
  <definedNames/>
  <calcPr/>
  <extLst>
    <ext uri="GoogleSheetsCustomDataVersion2">
      <go:sheetsCustomData xmlns:go="http://customooxmlschemas.google.com/" r:id="rId8" roundtripDataChecksum="JlhH8wDprlOYTSs832XyWoY7gt+xCdkoNT6B/TUu+rc="/>
    </ext>
  </extLst>
</workbook>
</file>

<file path=xl/sharedStrings.xml><?xml version="1.0" encoding="utf-8"?>
<sst xmlns="http://schemas.openxmlformats.org/spreadsheetml/2006/main" count="258" uniqueCount="225">
  <si>
    <t xml:space="preserve">КАЛЬКУЛЯТОР ИНВЕСТОРА — КАФЕ «ВЕНСКИЙ ВЕТЕР» https://cafe-spb.ru/ </t>
  </si>
  <si>
    <t>🟡 Жёлтые ячейки — меняйте сами.  Сценарий переключается на листе «Вводные» (ячейка C5: 1=Оптим., 2=Реалист., 3=Пессим.)</t>
  </si>
  <si>
    <t>ПАРАМЕТРЫ СДЕЛКИ</t>
  </si>
  <si>
    <t>Ваша сумма инвестиции, руб.</t>
  </si>
  <si>
    <t>Введите вашу сумму</t>
  </si>
  <si>
    <t>Доля прибыли инвестора ДО возврата, %</t>
  </si>
  <si>
    <t>Доля прибыли до полного возврата вложений (70%)</t>
  </si>
  <si>
    <t>Доля прибыли инвестора ПОСЛЕ возврата, %</t>
  </si>
  <si>
    <t>Доля прибыли после окупаемости (30%)</t>
  </si>
  <si>
    <t>Текущий сценарий</t>
  </si>
  <si>
    <t>Переключается на листе «Вводные» → ячейка C5</t>
  </si>
  <si>
    <t>ПАРАМЕТРЫ ПРОЕКТА (из модели)</t>
  </si>
  <si>
    <t>Общий инвест. бюджет проекта, руб.</t>
  </si>
  <si>
    <t>Меняется при смене сценария</t>
  </si>
  <si>
    <t>Доля инвестора в объёме инвестиций, %</t>
  </si>
  <si>
    <t>Прогнозируемое распределение прибыли</t>
  </si>
  <si>
    <t>"70%→30% Инвестор"</t>
  </si>
  <si>
    <t>Устанавливается в ячейке C6 выше; используется в расчётах ниже</t>
  </si>
  <si>
    <t>ФИНАНСОВЫЕ ПОКАЗАТЕЛИ ЗА 36 МЕС. (из финмодели)</t>
  </si>
  <si>
    <t>Выручка итого за 36 мес., руб.</t>
  </si>
  <si>
    <t>Чистая прибыль итого за 36 мес., руб.</t>
  </si>
  <si>
    <t>Средняя ежемесячная прибыль, руб.</t>
  </si>
  <si>
    <t>Средняя рентабельность за 36 мес.</t>
  </si>
  <si>
    <t>ПРОГНОЗ ВЫПЛАТ ИНВЕСТОРУ (36 МЕСЯЦЕВ)</t>
  </si>
  <si>
    <t>Месяц</t>
  </si>
  <si>
    <t>Прибыль проекта, руб.</t>
  </si>
  <si>
    <t>Выплата инвестору, руб.</t>
  </si>
  <si>
    <t>Нарастающий итог выплат, руб.</t>
  </si>
  <si>
    <t>Возврат инвестиции, руб.</t>
  </si>
  <si>
    <t>Статус (до/после возврата)</t>
  </si>
  <si>
    <t>ИТОГИ ДЛЯ ИНВЕСТОРА</t>
  </si>
  <si>
    <t>Вложено, руб.</t>
  </si>
  <si>
    <t>Итого выплат за 36 мес., руб.</t>
  </si>
  <si>
    <t>Итоговая доходность за 36 мес., %</t>
  </si>
  <si>
    <t>Среднегодовая доходность, %</t>
  </si>
  <si>
    <t>MOIC (во сколько раз выросли деньги)</t>
  </si>
  <si>
    <t>Срок окупаемости</t>
  </si>
  <si>
    <t>ℹ️ Месяц переключения на 30%: см. колонку G в таблице выше (строки с ✅)</t>
  </si>
  <si>
    <t>СРАВНЕНИЕ СЦЕНАРИЕВ (при вложении 1 500 000 руб., логика 70%→30%)</t>
  </si>
  <si>
    <t>Показатель</t>
  </si>
  <si>
    <t>Оптимистичный</t>
  </si>
  <si>
    <t>Реалистичный</t>
  </si>
  <si>
    <t>Пессимистичный</t>
  </si>
  <si>
    <t>Прибыль проекта за 36 мес., руб.</t>
  </si>
  <si>
    <t>Выплата инвестору (30% post-return, упрощённо), руб.</t>
  </si>
  <si>
    <t>Доходность на вложенный капитал за 36 мес., %</t>
  </si>
  <si>
    <t>Срок окупаемости (при выбранном сценарии — см. ячейку C65)</t>
  </si>
  <si>
    <t>Инвест. бюджет проекта, руб.</t>
  </si>
  <si>
    <t>💡 Для точного расчёта под вашу сумму — измените ячейку C5, переключите сценарий на листе «Вводные» (C5 = 1/2/3).</t>
  </si>
  <si>
    <t>СЛУЖЕБНЫЙ БЛОК (не удалять)</t>
  </si>
  <si>
    <t>Расчёт по сценариям — для блока сравнения</t>
  </si>
  <si>
    <t>ВВОДНЫЕ ДАННЫЕ — Финансовая модель кафе (3 сценария, 36 месяцев)</t>
  </si>
  <si>
    <t>▶  ВЫБОР СЦЕНАРИЯ</t>
  </si>
  <si>
    <t>Введите 1 = Оптимистичный  |  2 = Реалистичный  |  3 = Пессимистичный</t>
  </si>
  <si>
    <t>Сценарий (1 / 2 / 3):</t>
  </si>
  <si>
    <t>← измените это число</t>
  </si>
  <si>
    <t>Текущий сценарий →</t>
  </si>
  <si>
    <t>1. КЛИЕНТСКИЙ ПОТОК</t>
  </si>
  <si>
    <t>Средний чек, руб.</t>
  </si>
  <si>
    <t>Начальное кол-во чеков/день (мес.1)</t>
  </si>
  <si>
    <t>Прирост чеков/день в мес. (ежемес.)</t>
  </si>
  <si>
    <t>Плато чеков/день (максимум)</t>
  </si>
  <si>
    <t>Рабочих дней в месяц</t>
  </si>
  <si>
    <t>2. ПЕРЕМЕННЫЕ РАСХОДЫ (% от выручки)</t>
  </si>
  <si>
    <t>Себестоимость продуктов (COGS), %</t>
  </si>
  <si>
    <t>Эквайринг (80% платежей картой), %</t>
  </si>
  <si>
    <t>Маркетинг, %</t>
  </si>
  <si>
    <t>3. ПЕРЕМЕННЫЙ ФОТ — ТЕХНИК + ПРЕМИИ (руб./мес.)</t>
  </si>
  <si>
    <t>Структура: ФОТ перем. = Техник (фикс.) + Премии (нарастающие с мес.2)</t>
  </si>
  <si>
    <t>Техник (аутсорс, фиксированно), руб.</t>
  </si>
  <si>
    <t>Прирост премий с мес.2, руб./мес.</t>
  </si>
  <si>
    <t>Максимум премий, руб.</t>
  </si>
  <si>
    <t>Расходные материалы (фикс.), руб.</t>
  </si>
  <si>
    <t>4. ПОСТОЯННЫЕ РАСХОДЫ (руб./мес.)</t>
  </si>
  <si>
    <t>Аренда</t>
  </si>
  <si>
    <t>Коммуналка</t>
  </si>
  <si>
    <t>П.О. (программное обеспечение)</t>
  </si>
  <si>
    <t>Охранная система</t>
  </si>
  <si>
    <t>Связь / интернет</t>
  </si>
  <si>
    <t>ФОТ постоянный — итого</t>
  </si>
  <si>
    <t xml:space="preserve">  Бариста-кассира (2 × 80 000)</t>
  </si>
  <si>
    <t xml:space="preserve">  Повар (2 × 120 000)</t>
  </si>
  <si>
    <t xml:space="preserve">  Менеджер</t>
  </si>
  <si>
    <t>Налоги и платежи за сотрудников</t>
  </si>
  <si>
    <t>Уборщица аутсорс</t>
  </si>
  <si>
    <t>Бухгалтер</t>
  </si>
  <si>
    <t>5. НАЛОГИ (руб./мес., фиксированные)</t>
  </si>
  <si>
    <t>Налоги (УСН/патент), руб./мес.</t>
  </si>
  <si>
    <t>6. ИНВЕСТИЦИОННЫЙ БЮДЖЕТ</t>
  </si>
  <si>
    <t>Единственное отличие между сценариями — продукты на 1-й мес (35% от планируемой выручки)</t>
  </si>
  <si>
    <t>Продукты на 1-й мес. (35% выручки М1), руб.</t>
  </si>
  <si>
    <t>Прочие статьи бюджета (фикс. для всех), руб.</t>
  </si>
  <si>
    <t>ИТОГО ИНВЕСТИЦИЙ, руб.</t>
  </si>
  <si>
    <t>💡 КАК ПОЛЬЗОВАТЬСЯ: Измените C5 (1/2/3) → всё пересчитается. Колонки C–E = параметры сценариев (можно редактировать). Колонка F = текущий сценарий.</t>
  </si>
  <si>
    <t>Мес.№</t>
  </si>
  <si>
    <t>ГОД 1</t>
  </si>
  <si>
    <t>ГОД 2</t>
  </si>
  <si>
    <t>ГОД 3</t>
  </si>
  <si>
    <t>ИТОГО</t>
  </si>
  <si>
    <t>Статья</t>
  </si>
  <si>
    <t>Мес.1</t>
  </si>
  <si>
    <t>Мес.2</t>
  </si>
  <si>
    <t>Мес.3</t>
  </si>
  <si>
    <t>Мес.4</t>
  </si>
  <si>
    <t>Мес.5</t>
  </si>
  <si>
    <t>Мес.6</t>
  </si>
  <si>
    <t>Мес.7</t>
  </si>
  <si>
    <t>Мес.8</t>
  </si>
  <si>
    <t>Мес.9</t>
  </si>
  <si>
    <t>Мес.10</t>
  </si>
  <si>
    <t>Мес.11</t>
  </si>
  <si>
    <t>Мес.12</t>
  </si>
  <si>
    <t>Мес.13</t>
  </si>
  <si>
    <t>Мес.14</t>
  </si>
  <si>
    <t>Мес.15</t>
  </si>
  <si>
    <t>Мес.16</t>
  </si>
  <si>
    <t>Мес.17</t>
  </si>
  <si>
    <t>Мес.18</t>
  </si>
  <si>
    <t>Мес.19</t>
  </si>
  <si>
    <t>Мес.20</t>
  </si>
  <si>
    <t>Мес.21</t>
  </si>
  <si>
    <t>Мес.22</t>
  </si>
  <si>
    <t>Мес.23</t>
  </si>
  <si>
    <t>Мес.24</t>
  </si>
  <si>
    <t>Мес.25</t>
  </si>
  <si>
    <t>Мес.26</t>
  </si>
  <si>
    <t>Мес.27</t>
  </si>
  <si>
    <t>Мес.28</t>
  </si>
  <si>
    <t>Мес.29</t>
  </si>
  <si>
    <t>Мес.30</t>
  </si>
  <si>
    <t>Мес.31</t>
  </si>
  <si>
    <t>Мес.32</t>
  </si>
  <si>
    <t>Мес.33</t>
  </si>
  <si>
    <t>Мес.34</t>
  </si>
  <si>
    <t>Мес.35</t>
  </si>
  <si>
    <t>Мес.36</t>
  </si>
  <si>
    <t>ИТОГО 36 МЕС.</t>
  </si>
  <si>
    <t>ДОХОДЫ</t>
  </si>
  <si>
    <t xml:space="preserve">  Средний чек, руб.</t>
  </si>
  <si>
    <t xml:space="preserve">  Кол-во чеков/мес.</t>
  </si>
  <si>
    <t xml:space="preserve">  Среднее кол-во чеков/день</t>
  </si>
  <si>
    <t>РАСХОДЫ (без налогов)</t>
  </si>
  <si>
    <t>Переменные расходы</t>
  </si>
  <si>
    <t xml:space="preserve">  ФОТ переменная (техник + премии)</t>
  </si>
  <si>
    <t xml:space="preserve">  Себестоимость продуктов (COGS 30%)</t>
  </si>
  <si>
    <t xml:space="preserve">  Эквайринг (80% безнала × 1.5%)</t>
  </si>
  <si>
    <t xml:space="preserve">  Расходные материалы</t>
  </si>
  <si>
    <t xml:space="preserve">  Маркетинг (2% от выручки)</t>
  </si>
  <si>
    <t>Постоянные расходы</t>
  </si>
  <si>
    <t xml:space="preserve">  Аренда</t>
  </si>
  <si>
    <t xml:space="preserve">  Коммуналка</t>
  </si>
  <si>
    <t xml:space="preserve">  П.О. (программное обеспечение)</t>
  </si>
  <si>
    <t xml:space="preserve">  Охранная система</t>
  </si>
  <si>
    <t xml:space="preserve">  Связь / интернет</t>
  </si>
  <si>
    <t xml:space="preserve">  Постоянная часть ФОТ</t>
  </si>
  <si>
    <t xml:space="preserve">    Бариста-кассира (2×80 000)</t>
  </si>
  <si>
    <t xml:space="preserve">    Повар (2×120 000)</t>
  </si>
  <si>
    <t xml:space="preserve">    Менеджер</t>
  </si>
  <si>
    <t xml:space="preserve">  Налоги/платежи за сотрудников</t>
  </si>
  <si>
    <t xml:space="preserve">  Уборщица аутсорс</t>
  </si>
  <si>
    <t xml:space="preserve">  Бухгалтер</t>
  </si>
  <si>
    <t>Налоги (УСН/патент)</t>
  </si>
  <si>
    <t>ЧИСТАЯ ПРИБЫЛЬ</t>
  </si>
  <si>
    <t>Рентабельность, %</t>
  </si>
  <si>
    <t>Точка возврата инвестиций (нарастающий итог)</t>
  </si>
  <si>
    <t>Точка безубыточности (ежемес.), руб.</t>
  </si>
  <si>
    <t>ИНВЕСТИЦИОННЫЙ БЮДЖЕТ</t>
  </si>
  <si>
    <t>Статья бюджета</t>
  </si>
  <si>
    <t>Ед.</t>
  </si>
  <si>
    <t>Кол-во</t>
  </si>
  <si>
    <t>Стоимость, руб.</t>
  </si>
  <si>
    <t>Примечание</t>
  </si>
  <si>
    <t>РЕГИСТРАЦИЯ</t>
  </si>
  <si>
    <t>ЭЦП + Печать</t>
  </si>
  <si>
    <t>шт.</t>
  </si>
  <si>
    <t>Госпошлина = 0 (онлайн)</t>
  </si>
  <si>
    <t>БРЕНДИРОВАНИЕ</t>
  </si>
  <si>
    <t>Логотип, фирмстиль, меню</t>
  </si>
  <si>
    <t>компл.</t>
  </si>
  <si>
    <t>Выполнено без затрат</t>
  </si>
  <si>
    <t>ПО + КАССОВОЕ ОБОРУДОВАНИЕ</t>
  </si>
  <si>
    <t>Онлайн-касса + настройка</t>
  </si>
  <si>
    <t>мес.</t>
  </si>
  <si>
    <t>АРЕНДА (1-й мес.)</t>
  </si>
  <si>
    <t>Аренда 1-й месяц</t>
  </si>
  <si>
    <t>Коммуналка 1-й мес.</t>
  </si>
  <si>
    <t>ПОМЕЩЕНИЕ (ремонт)</t>
  </si>
  <si>
    <t>Дизайн-проект</t>
  </si>
  <si>
    <t>м²</t>
  </si>
  <si>
    <t>2 000 руб/м²</t>
  </si>
  <si>
    <t>Ремонтные работы</t>
  </si>
  <si>
    <t>9 000 руб/м²</t>
  </si>
  <si>
    <t>Материалы</t>
  </si>
  <si>
    <t>Паспорта на вывоз мусора</t>
  </si>
  <si>
    <t>Пожарная безопасность</t>
  </si>
  <si>
    <t>Охрана (первоначальный взнос)</t>
  </si>
  <si>
    <t>Интернет + роутер</t>
  </si>
  <si>
    <t>Барная стойка (полки, сантехника)</t>
  </si>
  <si>
    <t>Вывеска</t>
  </si>
  <si>
    <t>МЕБЕЛЬ</t>
  </si>
  <si>
    <t>Стулья/кресла (20 шт × 6 000)</t>
  </si>
  <si>
    <t>Столы (15 шт × 10 000)</t>
  </si>
  <si>
    <t>Пианино</t>
  </si>
  <si>
    <t>Б/у</t>
  </si>
  <si>
    <t>Диваны (8 шт × 12 000)</t>
  </si>
  <si>
    <t>ОБОРУДОВАНИЕ</t>
  </si>
  <si>
    <t>Кухонное + кофейное оборудование</t>
  </si>
  <si>
    <t>Искать б/у</t>
  </si>
  <si>
    <t>ИНВЕНТАРЬ</t>
  </si>
  <si>
    <t>Инвентарь</t>
  </si>
  <si>
    <t>Максимально дешёвое</t>
  </si>
  <si>
    <t>ПОСУДА</t>
  </si>
  <si>
    <t>Посуда (тарелки, кружки, стаканы)</t>
  </si>
  <si>
    <t>Не покупать дорогую сразу</t>
  </si>
  <si>
    <t>Одноразовая посуда (15–30 дней)</t>
  </si>
  <si>
    <t>ФОТ НА 1-Й МЕС.</t>
  </si>
  <si>
    <t>Бариста×2, Повар×2, Менеджер, Бухг, Техник + налоги</t>
  </si>
  <si>
    <t>ПРОЧИЕ РАСХОДЫ</t>
  </si>
  <si>
    <t>Расходные материалы, химия, мелочи</t>
  </si>
  <si>
    <t>МАРКЕТИНГ (открытие)</t>
  </si>
  <si>
    <t>Реклама у блогеров + листовки/баннеры</t>
  </si>
  <si>
    <t>ПРОДУКТЫ НА 1-Й МЕС. (35% от выручки М1)</t>
  </si>
  <si>
    <t>35% от планируемой выручки первого месяца</t>
  </si>
  <si>
    <t>По выбранному сценарию</t>
  </si>
  <si>
    <t xml:space="preserve">   Разница между сценариями — только статья «Продукты на 1-й мес.»: Оптим. 1 037 400 / Реалист. 518 700 / Пессим. 259 350 руб.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</si>
</sst>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;\(#,##0\);\-"/>
    <numFmt numFmtId="165" formatCode="0%;\(0%\);\-"/>
    <numFmt numFmtId="166" formatCode="0.0%;\(0.0%\);\-"/>
    <numFmt numFmtId="167" formatCode="0.00\x"/>
  </numFmts>
  <fonts count="28">
    <font>
      <sz val="11.0"/>
      <color theme="1"/>
      <name val="Calibri"/>
      <scheme val="minor"/>
    </font>
    <font>
      <sz val="12.0"/>
      <color theme="1"/>
      <name val="Nunito"/>
    </font>
    <font>
      <b/>
      <u/>
      <sz val="12.0"/>
      <color rgb="FFFFFFFF"/>
      <name val="Nunito"/>
    </font>
    <font/>
    <font>
      <i/>
      <sz val="12.0"/>
      <color rgb="FF000000"/>
      <name val="Nunito"/>
    </font>
    <font>
      <b/>
      <sz val="12.0"/>
      <color rgb="FFFFFFFF"/>
      <name val="Nunito"/>
    </font>
    <font>
      <sz val="12.0"/>
      <color rgb="FF000000"/>
      <name val="Nunito"/>
    </font>
    <font>
      <b/>
      <sz val="13.0"/>
      <color rgb="FF0000FF"/>
      <name val="Nunito"/>
    </font>
    <font>
      <i/>
      <sz val="12.0"/>
      <color rgb="FF7F7F7F"/>
      <name val="Nunito"/>
    </font>
    <font>
      <b/>
      <sz val="13.0"/>
      <color rgb="FF38761D"/>
      <name val="Nunito"/>
    </font>
    <font>
      <b/>
      <sz val="12.0"/>
      <color rgb="FF2E75B6"/>
      <name val="Nunito"/>
    </font>
    <font>
      <b/>
      <sz val="12.0"/>
      <color rgb="FF000000"/>
      <name val="Nunito"/>
    </font>
    <font>
      <sz val="12.0"/>
      <color rgb="FF375623"/>
      <name val="Nunito"/>
    </font>
    <font>
      <b/>
      <sz val="12.0"/>
      <color rgb="FF375623"/>
      <name val="Nunito"/>
    </font>
    <font>
      <i/>
      <sz val="12.0"/>
      <color rgb="FF1F4E79"/>
      <name val="Nunito"/>
    </font>
    <font>
      <b/>
      <sz val="12.0"/>
      <color rgb="FF0000FF"/>
      <name val="Nunito"/>
    </font>
    <font>
      <b/>
      <sz val="12.0"/>
      <color rgb="FF1F4E79"/>
      <name val="Nunito"/>
    </font>
    <font>
      <sz val="12.0"/>
      <color rgb="FF0000FF"/>
      <name val="Nunito"/>
    </font>
    <font>
      <sz val="11.0"/>
      <color theme="1"/>
      <name val="Nunito"/>
    </font>
    <font>
      <b/>
      <sz val="13.0"/>
      <color rgb="FFFFFFFF"/>
      <name val="Nunito"/>
    </font>
    <font>
      <sz val="7.0"/>
      <color rgb="FF7F7F7F"/>
      <name val="Nunito"/>
    </font>
    <font>
      <b/>
      <sz val="7.0"/>
      <color rgb="FF7F7F7F"/>
      <name val="Nunito"/>
    </font>
    <font>
      <b/>
      <sz val="9.0"/>
      <color rgb="FFFFFFFF"/>
      <name val="Nunito"/>
    </font>
    <font>
      <b/>
      <sz val="8.0"/>
      <color rgb="FFFFFFFF"/>
      <name val="Nunito"/>
    </font>
    <font>
      <b/>
      <sz val="9.0"/>
      <color rgb="FF000000"/>
      <name val="Nunito"/>
    </font>
    <font>
      <b/>
      <sz val="10.0"/>
      <color rgb="FF000000"/>
      <name val="Nunito"/>
    </font>
    <font>
      <sz val="10.0"/>
      <color rgb="FF000000"/>
      <name val="Nunito"/>
    </font>
    <font>
      <sz val="9.0"/>
      <color rgb="FF000000"/>
      <name val="Nunito"/>
    </font>
  </fonts>
  <fills count="1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EEAF1"/>
        <bgColor rgb="FFDEEAF1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EBF3FB"/>
        <bgColor rgb="FFEBF3FB"/>
      </patternFill>
    </fill>
    <fill>
      <patternFill patternType="solid">
        <fgColor rgb="FF375623"/>
        <bgColor rgb="FF375623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C00000"/>
        <bgColor rgb="FFC00000"/>
      </patternFill>
    </fill>
    <fill>
      <patternFill patternType="solid">
        <fgColor rgb="FFFCE4D6"/>
        <bgColor rgb="FFFCE4D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ont="1">
      <alignment horizontal="left" shrinkToFit="0" vertical="center" wrapText="0"/>
    </xf>
    <xf borderId="0" fillId="0" fontId="6" numFmtId="0" xfId="0" applyAlignment="1" applyFont="1">
      <alignment shrinkToFit="0" vertical="bottom" wrapText="0"/>
    </xf>
    <xf borderId="4" fillId="3" fontId="7" numFmtId="164" xfId="0" applyAlignment="1" applyBorder="1" applyFill="1" applyFont="1" applyNumberFormat="1">
      <alignment horizontal="right" readingOrder="0" shrinkToFit="0" vertical="center" wrapText="0"/>
    </xf>
    <xf borderId="0" fillId="0" fontId="8" numFmtId="0" xfId="0" applyAlignment="1" applyFont="1">
      <alignment shrinkToFit="0" vertical="bottom" wrapText="0"/>
    </xf>
    <xf borderId="0" fillId="0" fontId="9" numFmtId="9" xfId="0" applyAlignment="1" applyFont="1" applyNumberFormat="1">
      <alignment shrinkToFit="0" vertical="center" wrapText="0"/>
    </xf>
    <xf borderId="4" fillId="4" fontId="9" numFmtId="165" xfId="0" applyAlignment="1" applyBorder="1" applyFill="1" applyFont="1" applyNumberFormat="1">
      <alignment horizontal="right" shrinkToFit="0" vertical="center" wrapText="0"/>
    </xf>
    <xf borderId="4" fillId="5" fontId="10" numFmtId="0" xfId="0" applyAlignment="1" applyBorder="1" applyFill="1" applyFont="1">
      <alignment horizontal="center" shrinkToFit="0" vertical="center" wrapText="0"/>
    </xf>
    <xf borderId="4" fillId="6" fontId="5" numFmtId="0" xfId="0" applyAlignment="1" applyBorder="1" applyFill="1" applyFont="1">
      <alignment horizontal="left" shrinkToFit="0" vertical="center" wrapText="0"/>
    </xf>
    <xf borderId="4" fillId="7" fontId="6" numFmtId="164" xfId="0" applyAlignment="1" applyBorder="1" applyFill="1" applyFont="1" applyNumberFormat="1">
      <alignment horizontal="right" shrinkToFit="0" vertical="center" wrapText="0"/>
    </xf>
    <xf borderId="4" fillId="7" fontId="6" numFmtId="166" xfId="0" applyAlignment="1" applyBorder="1" applyFont="1" applyNumberFormat="1">
      <alignment horizontal="right" shrinkToFit="0" vertical="center" wrapText="0"/>
    </xf>
    <xf borderId="4" fillId="7" fontId="6" numFmtId="49" xfId="0" applyAlignment="1" applyBorder="1" applyFont="1" applyNumberFormat="1">
      <alignment horizontal="center" shrinkToFit="0" vertical="center" wrapText="0"/>
    </xf>
    <xf borderId="4" fillId="6" fontId="5" numFmtId="0" xfId="0" applyAlignment="1" applyBorder="1" applyFont="1">
      <alignment horizontal="left" shrinkToFit="0" vertical="center" wrapText="1"/>
    </xf>
    <xf borderId="0" fillId="0" fontId="11" numFmtId="0" xfId="0" applyAlignment="1" applyFont="1">
      <alignment shrinkToFit="0" vertical="bottom" wrapText="0"/>
    </xf>
    <xf borderId="4" fillId="7" fontId="11" numFmtId="164" xfId="0" applyAlignment="1" applyBorder="1" applyFont="1" applyNumberFormat="1">
      <alignment horizontal="right" shrinkToFit="0" vertical="center" wrapText="0"/>
    </xf>
    <xf borderId="4" fillId="2" fontId="5" numFmtId="0" xfId="0" applyAlignment="1" applyBorder="1" applyFont="1">
      <alignment horizontal="left" shrinkToFit="0" vertical="center" wrapText="0"/>
    </xf>
    <xf borderId="4" fillId="2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0"/>
    </xf>
    <xf borderId="0" fillId="0" fontId="6" numFmtId="164" xfId="0" applyAlignment="1" applyFont="1" applyNumberFormat="1">
      <alignment shrinkToFit="0" vertical="bottom" wrapText="0"/>
    </xf>
    <xf borderId="0" fillId="0" fontId="12" numFmtId="164" xfId="0" applyAlignment="1" applyFont="1" applyNumberFormat="1">
      <alignment shrinkToFit="0" vertical="bottom" wrapText="0"/>
    </xf>
    <xf borderId="4" fillId="8" fontId="6" numFmtId="0" xfId="0" applyAlignment="1" applyBorder="1" applyFill="1" applyFont="1">
      <alignment horizontal="center" shrinkToFit="0" vertical="center" wrapText="0"/>
    </xf>
    <xf borderId="4" fillId="8" fontId="6" numFmtId="164" xfId="0" applyAlignment="1" applyBorder="1" applyFont="1" applyNumberFormat="1">
      <alignment shrinkToFit="0" vertical="bottom" wrapText="0"/>
    </xf>
    <xf borderId="4" fillId="8" fontId="12" numFmtId="164" xfId="0" applyAlignment="1" applyBorder="1" applyFont="1" applyNumberFormat="1">
      <alignment shrinkToFit="0" vertical="bottom" wrapText="0"/>
    </xf>
    <xf borderId="4" fillId="7" fontId="11" numFmtId="166" xfId="0" applyAlignment="1" applyBorder="1" applyFont="1" applyNumberFormat="1">
      <alignment horizontal="right" shrinkToFit="0" vertical="center" wrapText="0"/>
    </xf>
    <xf borderId="4" fillId="7" fontId="11" numFmtId="167" xfId="0" applyAlignment="1" applyBorder="1" applyFont="1" applyNumberFormat="1">
      <alignment horizontal="right" shrinkToFit="0" vertical="center" wrapText="0"/>
    </xf>
    <xf borderId="4" fillId="7" fontId="13" numFmtId="0" xfId="0" applyAlignment="1" applyBorder="1" applyFont="1">
      <alignment horizontal="center" shrinkToFit="0" vertical="center" wrapText="0"/>
    </xf>
    <xf borderId="1" fillId="2" fontId="5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0"/>
    </xf>
    <xf borderId="0" fillId="0" fontId="6" numFmtId="164" xfId="0" applyAlignment="1" applyFont="1" applyNumberFormat="1">
      <alignment horizontal="center" shrinkToFit="0" vertical="center" wrapText="0"/>
    </xf>
    <xf borderId="4" fillId="8" fontId="6" numFmtId="164" xfId="0" applyAlignment="1" applyBorder="1" applyFont="1" applyNumberFormat="1">
      <alignment horizontal="center" shrinkToFit="0" vertical="center" wrapText="0"/>
    </xf>
    <xf borderId="0" fillId="0" fontId="6" numFmtId="166" xfId="0" applyAlignment="1" applyFont="1" applyNumberFormat="1">
      <alignment horizontal="center" shrinkToFit="0" vertical="center" wrapText="0"/>
    </xf>
    <xf borderId="4" fillId="8" fontId="6" numFmtId="166" xfId="0" applyAlignment="1" applyBorder="1" applyFont="1" applyNumberFormat="1">
      <alignment horizontal="center" shrinkToFit="0" vertical="center" wrapText="0"/>
    </xf>
    <xf borderId="0" fillId="0" fontId="6" numFmtId="49" xfId="0" applyAlignment="1" applyFont="1" applyNumberFormat="1">
      <alignment horizontal="center" shrinkToFit="0" vertical="center" wrapText="0"/>
    </xf>
    <xf borderId="0" fillId="0" fontId="14" numFmtId="0" xfId="0" applyAlignment="1" applyFont="1">
      <alignment shrinkToFit="0" vertical="bottom" wrapText="0"/>
    </xf>
    <xf borderId="1" fillId="2" fontId="5" numFmtId="0" xfId="0" applyAlignment="1" applyBorder="1" applyFont="1">
      <alignment shrinkToFit="0" vertical="bottom" wrapText="0"/>
    </xf>
    <xf borderId="4" fillId="3" fontId="15" numFmtId="0" xfId="0" applyAlignment="1" applyBorder="1" applyFont="1">
      <alignment horizontal="center" readingOrder="0" shrinkToFit="0" vertical="center" wrapText="0"/>
    </xf>
    <xf borderId="4" fillId="5" fontId="13" numFmtId="0" xfId="0" applyAlignment="1" applyBorder="1" applyFont="1">
      <alignment horizontal="center" shrinkToFit="0" vertical="center" wrapText="0"/>
    </xf>
    <xf borderId="4" fillId="6" fontId="5" numFmtId="0" xfId="0" applyAlignment="1" applyBorder="1" applyFont="1">
      <alignment horizontal="center" shrinkToFit="0" vertical="center" wrapText="0"/>
    </xf>
    <xf borderId="4" fillId="9" fontId="5" numFmtId="0" xfId="0" applyAlignment="1" applyBorder="1" applyFill="1" applyFont="1">
      <alignment horizontal="center" shrinkToFit="0" vertical="center" wrapText="0"/>
    </xf>
    <xf borderId="1" fillId="10" fontId="16" numFmtId="0" xfId="0" applyAlignment="1" applyBorder="1" applyFill="1" applyFont="1">
      <alignment horizontal="left" shrinkToFit="0" vertical="center" wrapText="0"/>
    </xf>
    <xf borderId="4" fillId="7" fontId="17" numFmtId="164" xfId="0" applyAlignment="1" applyBorder="1" applyFont="1" applyNumberFormat="1">
      <alignment horizontal="center" shrinkToFit="0" vertical="center" wrapText="0"/>
    </xf>
    <xf borderId="4" fillId="5" fontId="13" numFmtId="164" xfId="0" applyAlignment="1" applyBorder="1" applyFont="1" applyNumberFormat="1">
      <alignment horizontal="center" shrinkToFit="0" vertical="center" wrapText="0"/>
    </xf>
    <xf borderId="4" fillId="7" fontId="17" numFmtId="166" xfId="0" applyAlignment="1" applyBorder="1" applyFont="1" applyNumberFormat="1">
      <alignment horizontal="center" shrinkToFit="0" vertical="center" wrapText="0"/>
    </xf>
    <xf borderId="4" fillId="5" fontId="13" numFmtId="166" xfId="0" applyAlignment="1" applyBorder="1" applyFont="1" applyNumberFormat="1">
      <alignment horizontal="center" shrinkToFit="0" vertical="center" wrapText="0"/>
    </xf>
    <xf borderId="4" fillId="7" fontId="17" numFmtId="9" xfId="0" applyAlignment="1" applyBorder="1" applyFont="1" applyNumberFormat="1">
      <alignment horizontal="center" shrinkToFit="0" vertical="center" wrapText="0"/>
    </xf>
    <xf borderId="4" fillId="10" fontId="11" numFmtId="0" xfId="0" applyAlignment="1" applyBorder="1" applyFont="1">
      <alignment shrinkToFit="0" vertical="bottom" wrapText="0"/>
    </xf>
    <xf borderId="4" fillId="7" fontId="15" numFmtId="164" xfId="0" applyAlignment="1" applyBorder="1" applyFont="1" applyNumberFormat="1">
      <alignment horizontal="center" shrinkToFit="0" vertical="center" wrapText="0"/>
    </xf>
    <xf borderId="0" fillId="0" fontId="18" numFmtId="0" xfId="0" applyAlignment="1" applyFont="1">
      <alignment shrinkToFit="0" vertical="bottom" wrapText="0"/>
    </xf>
    <xf borderId="1" fillId="2" fontId="19" numFmtId="0" xfId="0" applyAlignment="1" applyBorder="1" applyFont="1">
      <alignment horizontal="center" shrinkToFit="0" vertical="center" wrapText="0"/>
    </xf>
    <xf borderId="0" fillId="0" fontId="20" numFmtId="0" xfId="0" applyAlignment="1" applyFont="1">
      <alignment shrinkToFit="0" vertical="bottom" wrapText="0"/>
    </xf>
    <xf borderId="0" fillId="0" fontId="20" numFmtId="0" xfId="0" applyAlignment="1" applyFont="1">
      <alignment horizontal="center" shrinkToFit="0" vertical="center" wrapText="0"/>
    </xf>
    <xf borderId="0" fillId="0" fontId="21" numFmtId="0" xfId="0" applyAlignment="1" applyFont="1">
      <alignment horizontal="center" shrinkToFit="0" vertical="center" wrapText="0"/>
    </xf>
    <xf borderId="4" fillId="2" fontId="22" numFmtId="0" xfId="0" applyAlignment="1" applyBorder="1" applyFont="1">
      <alignment horizontal="center" shrinkToFit="0" vertical="center" wrapText="0"/>
    </xf>
    <xf borderId="4" fillId="2" fontId="23" numFmtId="0" xfId="0" applyAlignment="1" applyBorder="1" applyFont="1">
      <alignment horizontal="center" shrinkToFit="0" vertical="center" wrapText="0"/>
    </xf>
    <xf borderId="4" fillId="6" fontId="22" numFmtId="0" xfId="0" applyAlignment="1" applyBorder="1" applyFont="1">
      <alignment horizontal="center" shrinkToFit="0" vertical="center" wrapText="0"/>
    </xf>
    <xf borderId="4" fillId="6" fontId="22" numFmtId="0" xfId="0" applyAlignment="1" applyBorder="1" applyFont="1">
      <alignment horizontal="center" shrinkToFit="0" vertical="center" wrapText="1"/>
    </xf>
    <xf borderId="4" fillId="9" fontId="5" numFmtId="0" xfId="0" applyAlignment="1" applyBorder="1" applyFont="1">
      <alignment shrinkToFit="0" vertical="center" wrapText="0"/>
    </xf>
    <xf borderId="4" fillId="11" fontId="24" numFmtId="164" xfId="0" applyAlignment="1" applyBorder="1" applyFill="1" applyFont="1" applyNumberFormat="1">
      <alignment horizontal="right" shrinkToFit="0" vertical="center" wrapText="0"/>
    </xf>
    <xf borderId="4" fillId="11" fontId="25" numFmtId="164" xfId="0" applyAlignment="1" applyBorder="1" applyFont="1" applyNumberFormat="1">
      <alignment shrinkToFit="0" vertical="bottom" wrapText="0"/>
    </xf>
    <xf borderId="0" fillId="0" fontId="26" numFmtId="0" xfId="0" applyAlignment="1" applyFont="1">
      <alignment horizontal="left" shrinkToFit="0" vertical="center" wrapText="0"/>
    </xf>
    <xf borderId="0" fillId="0" fontId="27" numFmtId="164" xfId="0" applyAlignment="1" applyFont="1" applyNumberFormat="1">
      <alignment horizontal="right" shrinkToFit="0" vertical="center" wrapText="0"/>
    </xf>
    <xf borderId="0" fillId="0" fontId="18" numFmtId="164" xfId="0" applyAlignment="1" applyFont="1" applyNumberFormat="1">
      <alignment shrinkToFit="0" vertical="bottom" wrapText="0"/>
    </xf>
    <xf borderId="4" fillId="12" fontId="5" numFmtId="0" xfId="0" applyAlignment="1" applyBorder="1" applyFill="1" applyFont="1">
      <alignment shrinkToFit="0" vertical="center" wrapText="0"/>
    </xf>
    <xf borderId="4" fillId="13" fontId="24" numFmtId="164" xfId="0" applyAlignment="1" applyBorder="1" applyFill="1" applyFont="1" applyNumberFormat="1">
      <alignment horizontal="right" shrinkToFit="0" vertical="center" wrapText="0"/>
    </xf>
    <xf borderId="4" fillId="13" fontId="25" numFmtId="164" xfId="0" applyAlignment="1" applyBorder="1" applyFont="1" applyNumberFormat="1">
      <alignment shrinkToFit="0" vertical="bottom" wrapText="0"/>
    </xf>
    <xf borderId="4" fillId="13" fontId="25" numFmtId="0" xfId="0" applyAlignment="1" applyBorder="1" applyFont="1">
      <alignment horizontal="left" shrinkToFit="0" vertical="center" wrapText="0"/>
    </xf>
    <xf borderId="0" fillId="0" fontId="25" numFmtId="0" xfId="0" applyAlignment="1" applyFont="1">
      <alignment horizontal="left" shrinkToFit="0" vertical="center" wrapText="0"/>
    </xf>
    <xf borderId="4" fillId="9" fontId="19" numFmtId="0" xfId="0" applyAlignment="1" applyBorder="1" applyFont="1">
      <alignment shrinkToFit="0" vertical="center" wrapText="0"/>
    </xf>
    <xf borderId="4" fillId="10" fontId="25" numFmtId="0" xfId="0" applyAlignment="1" applyBorder="1" applyFont="1">
      <alignment horizontal="left" shrinkToFit="0" vertical="center" wrapText="0"/>
    </xf>
    <xf borderId="4" fillId="10" fontId="27" numFmtId="166" xfId="0" applyAlignment="1" applyBorder="1" applyFont="1" applyNumberFormat="1">
      <alignment horizontal="right" shrinkToFit="0" vertical="center" wrapText="0"/>
    </xf>
    <xf borderId="4" fillId="10" fontId="18" numFmtId="166" xfId="0" applyAlignment="1" applyBorder="1" applyFont="1" applyNumberFormat="1">
      <alignment shrinkToFit="0" vertical="bottom" wrapText="0"/>
    </xf>
    <xf borderId="4" fillId="10" fontId="18" numFmtId="164" xfId="0" applyAlignment="1" applyBorder="1" applyFont="1" applyNumberFormat="1">
      <alignment shrinkToFit="0" vertical="bottom" wrapText="0"/>
    </xf>
    <xf borderId="0" fillId="0" fontId="20" numFmtId="164" xfId="0" applyAlignment="1" applyFont="1" applyNumberFormat="1">
      <alignment shrinkToFit="0" vertical="bottom" wrapText="0"/>
    </xf>
    <xf borderId="0" fillId="0" fontId="16" numFmtId="0" xfId="0" applyAlignment="1" applyFont="1">
      <alignment shrinkToFit="0" vertical="bottom" wrapText="0"/>
    </xf>
    <xf borderId="4" fillId="2" fontId="5" numFmtId="164" xfId="0" applyAlignment="1" applyBorder="1" applyFont="1" applyNumberFormat="1">
      <alignment horizontal="right" shrinkToFit="0" vertical="center" wrapText="0"/>
    </xf>
    <xf borderId="4" fillId="7" fontId="17" numFmtId="164" xfId="0" applyAlignment="1" applyBorder="1" applyFont="1" applyNumberFormat="1">
      <alignment shrinkToFit="0" vertical="bottom" wrapText="0"/>
    </xf>
    <xf borderId="1" fillId="12" fontId="5" numFmtId="0" xfId="0" applyAlignment="1" applyBorder="1" applyFont="1">
      <alignment horizontal="left" shrinkToFit="0" vertical="center" wrapText="0"/>
    </xf>
    <xf borderId="4" fillId="3" fontId="13" numFmtId="164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fe-spb.ru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workbookViewId="0">
      <pane xSplit="1.0" ySplit="21.0" topLeftCell="B22" activePane="bottomRight" state="frozen"/>
      <selection activeCell="B1" sqref="B1" pane="topRight"/>
      <selection activeCell="A22" sqref="A22" pane="bottomLeft"/>
      <selection activeCell="B22" sqref="B22" pane="bottomRight"/>
    </sheetView>
  </sheetViews>
  <sheetFormatPr customHeight="1" defaultColWidth="14.43" defaultRowHeight="15.0" outlineLevelRow="1"/>
  <cols>
    <col customWidth="1" min="1" max="1" width="3.0"/>
    <col customWidth="1" min="2" max="2" width="56.86"/>
    <col customWidth="1" min="3" max="3" width="31.71"/>
    <col customWidth="1" min="4" max="4" width="22.43"/>
    <col customWidth="1" min="5" max="5" width="28.43"/>
    <col customWidth="1" min="6" max="6" width="23.14"/>
  </cols>
  <sheetData>
    <row r="1" ht="33.75" customHeight="1">
      <c r="A1" s="1"/>
      <c r="B1" s="2" t="s">
        <v>0</v>
      </c>
      <c r="C1" s="3"/>
      <c r="D1" s="3"/>
      <c r="E1" s="3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5" t="s">
        <v>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7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6" t="s">
        <v>2</v>
      </c>
      <c r="C4" s="3"/>
      <c r="D4" s="3"/>
      <c r="E4" s="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75" customHeight="1">
      <c r="A5" s="1"/>
      <c r="B5" s="7" t="s">
        <v>3</v>
      </c>
      <c r="C5" s="8">
        <v>1000000.0</v>
      </c>
      <c r="D5" s="9" t="s">
        <v>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75" customHeight="1">
      <c r="A6" s="1"/>
      <c r="B6" s="1" t="s">
        <v>5</v>
      </c>
      <c r="C6" s="10">
        <v>0.7</v>
      </c>
      <c r="D6" s="9" t="s">
        <v>6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7" t="s">
        <v>7</v>
      </c>
      <c r="C7" s="11">
        <v>0.3</v>
      </c>
      <c r="D7" s="9" t="s">
        <v>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7" t="s">
        <v>9</v>
      </c>
      <c r="C8" s="12" t="str">
        <f>IF('Вводные'!C5=1,"Оптимистичный",IF('Вводные'!C5=2,"Реалистичный","Пессимистичный"))</f>
        <v>Реалистичный</v>
      </c>
      <c r="D8" s="9" t="s">
        <v>10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75" hidden="1" customHeight="1" outlineLevel="1">
      <c r="A9" s="1"/>
      <c r="B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75" hidden="1" customHeight="1" outlineLevel="1">
      <c r="A10" s="1"/>
      <c r="B10" s="13" t="s">
        <v>11</v>
      </c>
      <c r="C10" s="1"/>
      <c r="D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75" hidden="1" customHeight="1" outlineLevel="1">
      <c r="A11" s="1"/>
      <c r="B11" s="7" t="s">
        <v>12</v>
      </c>
      <c r="C11" s="14">
        <f>'Вводные'!F48</f>
        <v>4642311</v>
      </c>
      <c r="D11" s="9" t="s">
        <v>13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idden="1" outlineLevel="1">
      <c r="A12" s="1"/>
      <c r="B12" s="7" t="s">
        <v>14</v>
      </c>
      <c r="C12" s="15">
        <f>C5/C11</f>
        <v>0.2154099542</v>
      </c>
      <c r="D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idden="1" outlineLevel="1">
      <c r="A13" s="1"/>
      <c r="B13" s="7" t="s">
        <v>15</v>
      </c>
      <c r="C13" s="16" t="s">
        <v>16</v>
      </c>
      <c r="D13" s="9" t="s">
        <v>17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75" hidden="1" customHeight="1" outlineLevel="1">
      <c r="A14" s="1"/>
      <c r="B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idden="1" outlineLevel="1">
      <c r="A15" s="1"/>
      <c r="B15" s="17" t="s">
        <v>18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75" hidden="1" customHeight="1" outlineLevel="1">
      <c r="A16" s="1"/>
      <c r="B16" s="7" t="s">
        <v>19</v>
      </c>
      <c r="C16" s="14">
        <f>'Фин.модель'!AP4</f>
        <v>119700000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75" hidden="1" customHeight="1" outlineLevel="1">
      <c r="A17" s="1"/>
      <c r="B17" s="18" t="s">
        <v>20</v>
      </c>
      <c r="C17" s="19">
        <f>'Фин.модель'!AP34</f>
        <v>42120312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75" hidden="1" customHeight="1" outlineLevel="1">
      <c r="A18" s="1"/>
      <c r="B18" s="7" t="s">
        <v>21</v>
      </c>
      <c r="C18" s="14">
        <f>C17/36</f>
        <v>1170008.667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idden="1" outlineLevel="1">
      <c r="A19" s="1"/>
      <c r="B19" s="7" t="s">
        <v>22</v>
      </c>
      <c r="C19" s="15">
        <f>IFERROR(C17/C16,0)</f>
        <v>0.3518823058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75" hidden="1" customHeight="1" outlineLevel="1">
      <c r="A20" s="1"/>
      <c r="B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 collapsed="1">
      <c r="A21" s="1"/>
      <c r="B21" s="20" t="s">
        <v>23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21" t="s">
        <v>24</v>
      </c>
      <c r="C22" s="21" t="s">
        <v>25</v>
      </c>
      <c r="D22" s="21" t="s">
        <v>26</v>
      </c>
      <c r="E22" s="21" t="s">
        <v>27</v>
      </c>
      <c r="F22" s="21" t="s">
        <v>28</v>
      </c>
      <c r="G22" s="1" t="s">
        <v>29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22">
        <v>1.0</v>
      </c>
      <c r="C23" s="23">
        <f>'Фин.модель'!C34</f>
        <v>206642</v>
      </c>
      <c r="D23" s="24">
        <f>IF(C23&lt;=0,0,IF(0&gt;=$C$5,MAX(C23*$C$12*$C$7,0),MAX(C23*$C$12*$C$6,0)))</f>
        <v>31158.92063</v>
      </c>
      <c r="E23" s="23">
        <f>D23</f>
        <v>31158.92063</v>
      </c>
      <c r="F23" s="23">
        <f t="shared" ref="F23:F58" si="1">MAX($C$5-E23,0)</f>
        <v>968841.0794</v>
      </c>
      <c r="G23" s="1" t="str">
        <f>IF(0&gt;=$C$5,"✅ 30% (возврат завершён)","⏳ 70% (идёт возврат)")</f>
        <v>⏳ 70% (идёт возврат)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25">
        <v>2.0</v>
      </c>
      <c r="C24" s="26">
        <f>'Фин.модель'!D34</f>
        <v>316482</v>
      </c>
      <c r="D24" s="27">
        <f t="shared" ref="D24:D58" si="2">IF(C24&lt;=0,0,IF(E23&gt;=$C$5,MAX(C24*$C$12*$C$7,0),MAX(C24*$C$12*$C$6,0)))</f>
        <v>47721.36119</v>
      </c>
      <c r="E24" s="26">
        <f t="shared" ref="E24:E58" si="3">E23+D24</f>
        <v>78880.28183</v>
      </c>
      <c r="F24" s="26">
        <f t="shared" si="1"/>
        <v>921119.7182</v>
      </c>
      <c r="G24" s="1" t="str">
        <f t="shared" ref="G24:G58" si="4">IF(E23&gt;=$C$5,"✅ 30% (возврат завершён)","⏳ 70% (идёт возврат)")</f>
        <v>⏳ 70% (идёт возврат)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2">
        <v>3.0</v>
      </c>
      <c r="C25" s="23">
        <f>'Фин.модель'!E34</f>
        <v>426322</v>
      </c>
      <c r="D25" s="24">
        <f t="shared" si="2"/>
        <v>64283.80175</v>
      </c>
      <c r="E25" s="23">
        <f t="shared" si="3"/>
        <v>143164.0836</v>
      </c>
      <c r="F25" s="23">
        <f t="shared" si="1"/>
        <v>856835.9164</v>
      </c>
      <c r="G25" s="1" t="str">
        <f t="shared" si="4"/>
        <v>⏳ 70% (идёт возврат)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25">
        <v>4.0</v>
      </c>
      <c r="C26" s="26">
        <f>'Фин.модель'!F34</f>
        <v>541162</v>
      </c>
      <c r="D26" s="27">
        <f t="shared" si="2"/>
        <v>81600.17715</v>
      </c>
      <c r="E26" s="26">
        <f t="shared" si="3"/>
        <v>224764.2607</v>
      </c>
      <c r="F26" s="26">
        <f t="shared" si="1"/>
        <v>775235.7393</v>
      </c>
      <c r="G26" s="1" t="str">
        <f t="shared" si="4"/>
        <v>⏳ 70% (идёт возврат)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22">
        <v>5.0</v>
      </c>
      <c r="C27" s="23">
        <f>'Фин.модель'!G34</f>
        <v>656002</v>
      </c>
      <c r="D27" s="24">
        <f t="shared" si="2"/>
        <v>98916.55255</v>
      </c>
      <c r="E27" s="23">
        <f t="shared" si="3"/>
        <v>323680.8133</v>
      </c>
      <c r="F27" s="23">
        <f t="shared" si="1"/>
        <v>676319.1867</v>
      </c>
      <c r="G27" s="1" t="str">
        <f t="shared" si="4"/>
        <v>⏳ 70% (идёт возврат)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25">
        <v>6.0</v>
      </c>
      <c r="C28" s="26">
        <f>'Фин.модель'!H34</f>
        <v>770842</v>
      </c>
      <c r="D28" s="27">
        <f t="shared" si="2"/>
        <v>116232.928</v>
      </c>
      <c r="E28" s="26">
        <f t="shared" si="3"/>
        <v>439913.7412</v>
      </c>
      <c r="F28" s="26">
        <f t="shared" si="1"/>
        <v>560086.2588</v>
      </c>
      <c r="G28" s="1" t="str">
        <f t="shared" si="4"/>
        <v>⏳ 70% (идёт возврат)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22">
        <v>7.0</v>
      </c>
      <c r="C29" s="23">
        <f>'Фин.модель'!I34</f>
        <v>885682</v>
      </c>
      <c r="D29" s="24">
        <f t="shared" si="2"/>
        <v>133549.3034</v>
      </c>
      <c r="E29" s="23">
        <f t="shared" si="3"/>
        <v>573463.0446</v>
      </c>
      <c r="F29" s="23">
        <f t="shared" si="1"/>
        <v>426536.9554</v>
      </c>
      <c r="G29" s="1" t="str">
        <f t="shared" si="4"/>
        <v>⏳ 70% (идёт возврат)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25">
        <v>8.0</v>
      </c>
      <c r="C30" s="26">
        <f>'Фин.модель'!J34</f>
        <v>1000522</v>
      </c>
      <c r="D30" s="27">
        <f t="shared" si="2"/>
        <v>150865.6788</v>
      </c>
      <c r="E30" s="26">
        <f t="shared" si="3"/>
        <v>724328.7233</v>
      </c>
      <c r="F30" s="26">
        <f t="shared" si="1"/>
        <v>275671.2767</v>
      </c>
      <c r="G30" s="1" t="str">
        <f t="shared" si="4"/>
        <v>⏳ 70% (идёт возврат)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22">
        <v>9.0</v>
      </c>
      <c r="C31" s="23">
        <f>'Фин.модель'!K34</f>
        <v>1115362</v>
      </c>
      <c r="D31" s="24">
        <f t="shared" si="2"/>
        <v>168182.0542</v>
      </c>
      <c r="E31" s="23">
        <f t="shared" si="3"/>
        <v>892510.7775</v>
      </c>
      <c r="F31" s="23">
        <f t="shared" si="1"/>
        <v>107489.2225</v>
      </c>
      <c r="G31" s="1" t="str">
        <f t="shared" si="4"/>
        <v>⏳ 70% (идёт возврат)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25">
        <v>10.0</v>
      </c>
      <c r="C32" s="26">
        <f>'Фин.модель'!L34</f>
        <v>1230202</v>
      </c>
      <c r="D32" s="27">
        <f t="shared" si="2"/>
        <v>185498.4296</v>
      </c>
      <c r="E32" s="26">
        <f t="shared" si="3"/>
        <v>1078009.207</v>
      </c>
      <c r="F32" s="26">
        <f t="shared" si="1"/>
        <v>0</v>
      </c>
      <c r="G32" s="1" t="str">
        <f t="shared" si="4"/>
        <v>⏳ 70% (идёт возврат)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22">
        <v>11.0</v>
      </c>
      <c r="C33" s="23">
        <f>'Фин.модель'!M34</f>
        <v>1345042</v>
      </c>
      <c r="D33" s="24">
        <f t="shared" si="2"/>
        <v>86920.63069</v>
      </c>
      <c r="E33" s="23">
        <f t="shared" si="3"/>
        <v>1164929.838</v>
      </c>
      <c r="F33" s="23">
        <f t="shared" si="1"/>
        <v>0</v>
      </c>
      <c r="G33" s="1" t="str">
        <f t="shared" si="4"/>
        <v>✅ 30% (возврат завершён)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25">
        <v>12.0</v>
      </c>
      <c r="C34" s="26">
        <f>'Фин.модель'!N34</f>
        <v>1345042</v>
      </c>
      <c r="D34" s="27">
        <f t="shared" si="2"/>
        <v>86920.63069</v>
      </c>
      <c r="E34" s="26">
        <f t="shared" si="3"/>
        <v>1251850.468</v>
      </c>
      <c r="F34" s="26">
        <f t="shared" si="1"/>
        <v>0</v>
      </c>
      <c r="G34" s="1" t="str">
        <f t="shared" si="4"/>
        <v>✅ 30% (возврат завершён)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22">
        <v>13.0</v>
      </c>
      <c r="C35" s="23">
        <f>'Фин.модель'!O34</f>
        <v>1345042</v>
      </c>
      <c r="D35" s="24">
        <f t="shared" si="2"/>
        <v>86920.63069</v>
      </c>
      <c r="E35" s="23">
        <f t="shared" si="3"/>
        <v>1338771.099</v>
      </c>
      <c r="F35" s="23">
        <f t="shared" si="1"/>
        <v>0</v>
      </c>
      <c r="G35" s="1" t="str">
        <f t="shared" si="4"/>
        <v>✅ 30% (возврат завершён)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25">
        <v>14.0</v>
      </c>
      <c r="C36" s="26">
        <f>'Фин.модель'!P34</f>
        <v>1345042</v>
      </c>
      <c r="D36" s="27">
        <f t="shared" si="2"/>
        <v>86920.63069</v>
      </c>
      <c r="E36" s="26">
        <f t="shared" si="3"/>
        <v>1425691.73</v>
      </c>
      <c r="F36" s="26">
        <f t="shared" si="1"/>
        <v>0</v>
      </c>
      <c r="G36" s="1" t="str">
        <f t="shared" si="4"/>
        <v>✅ 30% (возврат завершён)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22">
        <v>15.0</v>
      </c>
      <c r="C37" s="23">
        <f>'Фин.модель'!Q34</f>
        <v>1345042</v>
      </c>
      <c r="D37" s="24">
        <f t="shared" si="2"/>
        <v>86920.63069</v>
      </c>
      <c r="E37" s="23">
        <f t="shared" si="3"/>
        <v>1512612.361</v>
      </c>
      <c r="F37" s="23">
        <f t="shared" si="1"/>
        <v>0</v>
      </c>
      <c r="G37" s="1" t="str">
        <f t="shared" si="4"/>
        <v>✅ 30% (возврат завершён)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25">
        <v>16.0</v>
      </c>
      <c r="C38" s="26">
        <f>'Фин.модель'!R34</f>
        <v>1345042</v>
      </c>
      <c r="D38" s="27">
        <f t="shared" si="2"/>
        <v>86920.63069</v>
      </c>
      <c r="E38" s="26">
        <f t="shared" si="3"/>
        <v>1599532.991</v>
      </c>
      <c r="F38" s="26">
        <f t="shared" si="1"/>
        <v>0</v>
      </c>
      <c r="G38" s="1" t="str">
        <f t="shared" si="4"/>
        <v>✅ 30% (возврат завершён)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22">
        <v>17.0</v>
      </c>
      <c r="C39" s="23">
        <f>'Фин.модель'!S34</f>
        <v>1345042</v>
      </c>
      <c r="D39" s="24">
        <f t="shared" si="2"/>
        <v>86920.63069</v>
      </c>
      <c r="E39" s="23">
        <f t="shared" si="3"/>
        <v>1686453.622</v>
      </c>
      <c r="F39" s="23">
        <f t="shared" si="1"/>
        <v>0</v>
      </c>
      <c r="G39" s="1" t="str">
        <f t="shared" si="4"/>
        <v>✅ 30% (возврат завершён)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25">
        <v>18.0</v>
      </c>
      <c r="C40" s="26">
        <f>'Фин.модель'!T34</f>
        <v>1345042</v>
      </c>
      <c r="D40" s="27">
        <f t="shared" si="2"/>
        <v>86920.63069</v>
      </c>
      <c r="E40" s="26">
        <f t="shared" si="3"/>
        <v>1773374.253</v>
      </c>
      <c r="F40" s="26">
        <f t="shared" si="1"/>
        <v>0</v>
      </c>
      <c r="G40" s="1" t="str">
        <f t="shared" si="4"/>
        <v>✅ 30% (возврат завершён)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22">
        <v>19.0</v>
      </c>
      <c r="C41" s="23">
        <f>'Фин.модель'!U34</f>
        <v>1345042</v>
      </c>
      <c r="D41" s="24">
        <f t="shared" si="2"/>
        <v>86920.63069</v>
      </c>
      <c r="E41" s="23">
        <f t="shared" si="3"/>
        <v>1860294.883</v>
      </c>
      <c r="F41" s="23">
        <f t="shared" si="1"/>
        <v>0</v>
      </c>
      <c r="G41" s="1" t="str">
        <f t="shared" si="4"/>
        <v>✅ 30% (возврат завершён)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25">
        <v>20.0</v>
      </c>
      <c r="C42" s="26">
        <f>'Фин.модель'!V34</f>
        <v>1345042</v>
      </c>
      <c r="D42" s="27">
        <f t="shared" si="2"/>
        <v>86920.63069</v>
      </c>
      <c r="E42" s="26">
        <f t="shared" si="3"/>
        <v>1947215.514</v>
      </c>
      <c r="F42" s="26">
        <f t="shared" si="1"/>
        <v>0</v>
      </c>
      <c r="G42" s="1" t="str">
        <f t="shared" si="4"/>
        <v>✅ 30% (возврат завершён)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22">
        <v>21.0</v>
      </c>
      <c r="C43" s="23">
        <f>'Фин.модель'!W34</f>
        <v>1345042</v>
      </c>
      <c r="D43" s="24">
        <f t="shared" si="2"/>
        <v>86920.63069</v>
      </c>
      <c r="E43" s="23">
        <f t="shared" si="3"/>
        <v>2034136.145</v>
      </c>
      <c r="F43" s="23">
        <f t="shared" si="1"/>
        <v>0</v>
      </c>
      <c r="G43" s="1" t="str">
        <f t="shared" si="4"/>
        <v>✅ 30% (возврат завершён)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25">
        <v>22.0</v>
      </c>
      <c r="C44" s="26">
        <f>'Фин.модель'!X34</f>
        <v>1345042</v>
      </c>
      <c r="D44" s="27">
        <f t="shared" si="2"/>
        <v>86920.63069</v>
      </c>
      <c r="E44" s="26">
        <f t="shared" si="3"/>
        <v>2121056.775</v>
      </c>
      <c r="F44" s="26">
        <f t="shared" si="1"/>
        <v>0</v>
      </c>
      <c r="G44" s="1" t="str">
        <f t="shared" si="4"/>
        <v>✅ 30% (возврат завершён)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22">
        <v>23.0</v>
      </c>
      <c r="C45" s="23">
        <f>'Фин.модель'!Y34</f>
        <v>1345042</v>
      </c>
      <c r="D45" s="24">
        <f t="shared" si="2"/>
        <v>86920.63069</v>
      </c>
      <c r="E45" s="23">
        <f t="shared" si="3"/>
        <v>2207977.406</v>
      </c>
      <c r="F45" s="23">
        <f t="shared" si="1"/>
        <v>0</v>
      </c>
      <c r="G45" s="1" t="str">
        <f t="shared" si="4"/>
        <v>✅ 30% (возврат завершён)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25">
        <v>24.0</v>
      </c>
      <c r="C46" s="26">
        <f>'Фин.модель'!Z34</f>
        <v>1345042</v>
      </c>
      <c r="D46" s="27">
        <f t="shared" si="2"/>
        <v>86920.63069</v>
      </c>
      <c r="E46" s="26">
        <f t="shared" si="3"/>
        <v>2294898.037</v>
      </c>
      <c r="F46" s="26">
        <f t="shared" si="1"/>
        <v>0</v>
      </c>
      <c r="G46" s="1" t="str">
        <f t="shared" si="4"/>
        <v>✅ 30% (возврат завершён)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22">
        <v>25.0</v>
      </c>
      <c r="C47" s="23">
        <f>'Фин.модель'!AA34</f>
        <v>1345042</v>
      </c>
      <c r="D47" s="24">
        <f t="shared" si="2"/>
        <v>86920.63069</v>
      </c>
      <c r="E47" s="23">
        <f t="shared" si="3"/>
        <v>2381818.667</v>
      </c>
      <c r="F47" s="23">
        <f t="shared" si="1"/>
        <v>0</v>
      </c>
      <c r="G47" s="1" t="str">
        <f t="shared" si="4"/>
        <v>✅ 30% (возврат завершён)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25">
        <v>26.0</v>
      </c>
      <c r="C48" s="26">
        <f>'Фин.модель'!AB34</f>
        <v>1345042</v>
      </c>
      <c r="D48" s="27">
        <f t="shared" si="2"/>
        <v>86920.63069</v>
      </c>
      <c r="E48" s="26">
        <f t="shared" si="3"/>
        <v>2468739.298</v>
      </c>
      <c r="F48" s="26">
        <f t="shared" si="1"/>
        <v>0</v>
      </c>
      <c r="G48" s="1" t="str">
        <f t="shared" si="4"/>
        <v>✅ 30% (возврат завершён)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22">
        <v>27.0</v>
      </c>
      <c r="C49" s="23">
        <f>'Фин.модель'!AC34</f>
        <v>1345042</v>
      </c>
      <c r="D49" s="24">
        <f t="shared" si="2"/>
        <v>86920.63069</v>
      </c>
      <c r="E49" s="23">
        <f t="shared" si="3"/>
        <v>2555659.929</v>
      </c>
      <c r="F49" s="23">
        <f t="shared" si="1"/>
        <v>0</v>
      </c>
      <c r="G49" s="1" t="str">
        <f t="shared" si="4"/>
        <v>✅ 30% (возврат завершён)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25">
        <v>28.0</v>
      </c>
      <c r="C50" s="26">
        <f>'Фин.модель'!AD34</f>
        <v>1345042</v>
      </c>
      <c r="D50" s="27">
        <f t="shared" si="2"/>
        <v>86920.63069</v>
      </c>
      <c r="E50" s="26">
        <f t="shared" si="3"/>
        <v>2642580.56</v>
      </c>
      <c r="F50" s="26">
        <f t="shared" si="1"/>
        <v>0</v>
      </c>
      <c r="G50" s="1" t="str">
        <f t="shared" si="4"/>
        <v>✅ 30% (возврат завершён)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22">
        <v>29.0</v>
      </c>
      <c r="C51" s="23">
        <f>'Фин.модель'!AE34</f>
        <v>1345042</v>
      </c>
      <c r="D51" s="24">
        <f t="shared" si="2"/>
        <v>86920.63069</v>
      </c>
      <c r="E51" s="23">
        <f t="shared" si="3"/>
        <v>2729501.19</v>
      </c>
      <c r="F51" s="23">
        <f t="shared" si="1"/>
        <v>0</v>
      </c>
      <c r="G51" s="1" t="str">
        <f t="shared" si="4"/>
        <v>✅ 30% (возврат завершён)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25">
        <v>30.0</v>
      </c>
      <c r="C52" s="26">
        <f>'Фин.модель'!AF34</f>
        <v>1345042</v>
      </c>
      <c r="D52" s="27">
        <f t="shared" si="2"/>
        <v>86920.63069</v>
      </c>
      <c r="E52" s="26">
        <f t="shared" si="3"/>
        <v>2816421.821</v>
      </c>
      <c r="F52" s="26">
        <f t="shared" si="1"/>
        <v>0</v>
      </c>
      <c r="G52" s="1" t="str">
        <f t="shared" si="4"/>
        <v>✅ 30% (возврат завершён)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22">
        <v>31.0</v>
      </c>
      <c r="C53" s="23">
        <f>'Фин.модель'!AG34</f>
        <v>1345042</v>
      </c>
      <c r="D53" s="24">
        <f t="shared" si="2"/>
        <v>86920.63069</v>
      </c>
      <c r="E53" s="23">
        <f t="shared" si="3"/>
        <v>2903342.452</v>
      </c>
      <c r="F53" s="23">
        <f t="shared" si="1"/>
        <v>0</v>
      </c>
      <c r="G53" s="1" t="str">
        <f t="shared" si="4"/>
        <v>✅ 30% (возврат завершён)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25">
        <v>32.0</v>
      </c>
      <c r="C54" s="26">
        <f>'Фин.модель'!AH34</f>
        <v>1345042</v>
      </c>
      <c r="D54" s="27">
        <f t="shared" si="2"/>
        <v>86920.63069</v>
      </c>
      <c r="E54" s="26">
        <f t="shared" si="3"/>
        <v>2990263.082</v>
      </c>
      <c r="F54" s="26">
        <f t="shared" si="1"/>
        <v>0</v>
      </c>
      <c r="G54" s="1" t="str">
        <f t="shared" si="4"/>
        <v>✅ 30% (возврат завершён)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22">
        <v>33.0</v>
      </c>
      <c r="C55" s="23">
        <f>'Фин.модель'!AI34</f>
        <v>1345042</v>
      </c>
      <c r="D55" s="24">
        <f t="shared" si="2"/>
        <v>86920.63069</v>
      </c>
      <c r="E55" s="23">
        <f t="shared" si="3"/>
        <v>3077183.713</v>
      </c>
      <c r="F55" s="23">
        <f t="shared" si="1"/>
        <v>0</v>
      </c>
      <c r="G55" s="1" t="str">
        <f t="shared" si="4"/>
        <v>✅ 30% (возврат завершён)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25">
        <v>34.0</v>
      </c>
      <c r="C56" s="26">
        <f>'Фин.модель'!AJ34</f>
        <v>1345042</v>
      </c>
      <c r="D56" s="27">
        <f t="shared" si="2"/>
        <v>86920.63069</v>
      </c>
      <c r="E56" s="26">
        <f t="shared" si="3"/>
        <v>3164104.344</v>
      </c>
      <c r="F56" s="26">
        <f t="shared" si="1"/>
        <v>0</v>
      </c>
      <c r="G56" s="1" t="str">
        <f t="shared" si="4"/>
        <v>✅ 30% (возврат завершён)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22">
        <v>35.0</v>
      </c>
      <c r="C57" s="23">
        <f>'Фин.модель'!AK34</f>
        <v>1345042</v>
      </c>
      <c r="D57" s="24">
        <f t="shared" si="2"/>
        <v>86920.63069</v>
      </c>
      <c r="E57" s="23">
        <f t="shared" si="3"/>
        <v>3251024.974</v>
      </c>
      <c r="F57" s="23">
        <f t="shared" si="1"/>
        <v>0</v>
      </c>
      <c r="G57" s="1" t="str">
        <f t="shared" si="4"/>
        <v>✅ 30% (возврат завершён)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25">
        <v>36.0</v>
      </c>
      <c r="C58" s="26">
        <f>'Фин.модель'!AL34</f>
        <v>1345042</v>
      </c>
      <c r="D58" s="27">
        <f t="shared" si="2"/>
        <v>86920.63069</v>
      </c>
      <c r="E58" s="26">
        <f t="shared" si="3"/>
        <v>3337945.605</v>
      </c>
      <c r="F58" s="26">
        <f t="shared" si="1"/>
        <v>0</v>
      </c>
      <c r="G58" s="1" t="str">
        <f t="shared" si="4"/>
        <v>✅ 30% (возврат завершён)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A59" s="1"/>
      <c r="B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75" customHeight="1">
      <c r="A60" s="1"/>
      <c r="B60" s="20" t="s">
        <v>30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75" customHeight="1">
      <c r="A61" s="1"/>
      <c r="B61" s="18" t="s">
        <v>31</v>
      </c>
      <c r="C61" s="19">
        <f>C5</f>
        <v>1000000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75" customHeight="1">
      <c r="A62" s="1"/>
      <c r="B62" s="18" t="s">
        <v>32</v>
      </c>
      <c r="C62" s="19">
        <f>E58</f>
        <v>3337945.605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75" customHeight="1">
      <c r="A63" s="1"/>
      <c r="B63" s="18" t="s">
        <v>33</v>
      </c>
      <c r="C63" s="28">
        <f>IFERROR(C62/C5-1,0)</f>
        <v>2.337945605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75" customHeight="1">
      <c r="A64" s="1"/>
      <c r="B64" s="18" t="s">
        <v>34</v>
      </c>
      <c r="C64" s="28">
        <f>IFERROR((1+C63)^(1/3)-1,0)</f>
        <v>0.4944902465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9.5" customHeight="1">
      <c r="A65" s="1"/>
      <c r="B65" s="18" t="s">
        <v>35</v>
      </c>
      <c r="C65" s="29">
        <f>IFERROR(C62/C5,0)</f>
        <v>3.337945605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8" t="s">
        <v>36</v>
      </c>
      <c r="C66" s="30" t="str">
        <f t="array" ref="C66">IFERROR(MATCH(TRUE(),INDEX(E23:E58&gt;=$C$5,0),0)&amp;" мес.","Не окупился за 36 мес.")</f>
        <v>10 мес.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 t="s">
        <v>37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31" t="s">
        <v>38</v>
      </c>
      <c r="C68" s="3"/>
      <c r="D68" s="3"/>
      <c r="E68" s="4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0" customHeight="1">
      <c r="A69" s="1"/>
      <c r="B69" s="32" t="s">
        <v>39</v>
      </c>
      <c r="C69" s="32" t="s">
        <v>40</v>
      </c>
      <c r="D69" s="32" t="s">
        <v>41</v>
      </c>
      <c r="E69" s="32" t="s">
        <v>42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0" customHeight="1">
      <c r="A70" s="1"/>
      <c r="B70" s="7" t="s">
        <v>43</v>
      </c>
      <c r="C70" s="33">
        <v>9.9398472E7</v>
      </c>
      <c r="D70" s="33">
        <v>2.356631E7</v>
      </c>
      <c r="E70" s="33">
        <v>4.5939768E7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0" customHeight="1">
      <c r="A71" s="1"/>
      <c r="B71" s="7" t="s">
        <v>44</v>
      </c>
      <c r="C71" s="34">
        <f t="shared" ref="C71:E71" si="5">MAX(C70*$C$12*$C$7,0)</f>
        <v>6423426.091</v>
      </c>
      <c r="D71" s="34">
        <f t="shared" si="5"/>
        <v>1522925.327</v>
      </c>
      <c r="E71" s="34">
        <f t="shared" si="5"/>
        <v>2968764.997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0" customHeight="1">
      <c r="A72" s="1"/>
      <c r="B72" s="7" t="s">
        <v>45</v>
      </c>
      <c r="C72" s="35">
        <f t="shared" ref="C72:E72" si="6">IFERROR(C71/$C$5-1,0)</f>
        <v>5.423426091</v>
      </c>
      <c r="D72" s="35">
        <f t="shared" si="6"/>
        <v>0.5229253275</v>
      </c>
      <c r="E72" s="35">
        <f t="shared" si="6"/>
        <v>1.968764997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0" customHeight="1">
      <c r="A73" s="1"/>
      <c r="B73" s="7" t="s">
        <v>34</v>
      </c>
      <c r="C73" s="36">
        <f t="shared" ref="C73:E73" si="7">IFERROR((1+C72)^(1/3)-1,0)</f>
        <v>0.8588980727</v>
      </c>
      <c r="D73" s="36">
        <f t="shared" si="7"/>
        <v>0.1505165487</v>
      </c>
      <c r="E73" s="36">
        <f t="shared" si="7"/>
        <v>0.4372266898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0" customHeight="1">
      <c r="A74" s="1"/>
      <c r="B74" s="7" t="s">
        <v>46</v>
      </c>
      <c r="C74" s="37" t="str">
        <f>IF('Вводные'!$C$5=1,C66,"")</f>
        <v/>
      </c>
      <c r="D74" s="37" t="str">
        <f>IF('Вводные'!$C$5=2,C66,"")</f>
        <v>10 мес.</v>
      </c>
      <c r="E74" s="37" t="str">
        <f>IF('Вводные'!$C$5=3,C66,"")</f>
        <v/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7" t="s">
        <v>47</v>
      </c>
      <c r="C75" s="34">
        <f>'Вводные'!$C$48</f>
        <v>5161011</v>
      </c>
      <c r="D75" s="34">
        <f>'Вводные'!$D$48</f>
        <v>4642311</v>
      </c>
      <c r="E75" s="34">
        <f>'Вводные'!$E$48</f>
        <v>4382961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38" t="s">
        <v>48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49</v>
      </c>
      <c r="B81" s="1" t="s">
        <v>50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D10:F10"/>
    <mergeCell ref="D12:F12"/>
    <mergeCell ref="B14:E14"/>
    <mergeCell ref="B20:F20"/>
    <mergeCell ref="B59:F59"/>
    <mergeCell ref="B67:F67"/>
    <mergeCell ref="B68:E68"/>
    <mergeCell ref="B76:F76"/>
    <mergeCell ref="B1:F1"/>
    <mergeCell ref="B2:F2"/>
    <mergeCell ref="B4:E4"/>
    <mergeCell ref="D5:F5"/>
    <mergeCell ref="D6:F6"/>
    <mergeCell ref="D7:F7"/>
    <mergeCell ref="B9:E9"/>
  </mergeCells>
  <hyperlinks>
    <hyperlink r:id="rId1" ref="B1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40.0"/>
    <col customWidth="1" min="3" max="3" width="19.14"/>
    <col customWidth="1" min="4" max="4" width="25.0"/>
    <col customWidth="1" min="5" max="5" width="20.14"/>
    <col customWidth="1" min="6" max="6" width="25.0"/>
  </cols>
  <sheetData>
    <row r="1" ht="25.5" customHeight="1">
      <c r="A1" s="1"/>
      <c r="B1" s="6" t="s">
        <v>51</v>
      </c>
      <c r="C1" s="3"/>
      <c r="D1" s="3"/>
      <c r="E1" s="3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75" customHeight="1">
      <c r="A3" s="1"/>
      <c r="B3" s="39" t="s">
        <v>52</v>
      </c>
      <c r="C3" s="3"/>
      <c r="D3" s="3"/>
      <c r="E3" s="3"/>
      <c r="F3" s="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9" t="s">
        <v>53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5.5" customHeight="1">
      <c r="A5" s="1"/>
      <c r="B5" s="18" t="s">
        <v>54</v>
      </c>
      <c r="C5" s="40">
        <v>2.0</v>
      </c>
      <c r="D5" s="9" t="s">
        <v>55</v>
      </c>
      <c r="F5" s="41" t="str">
        <f>IF(C5=1,"✅ Оптимистичный",IF(C5=2,"✅ Реалистичный","✅ Пессимистичный"))</f>
        <v>✅ Реалистичный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42" t="s">
        <v>39</v>
      </c>
      <c r="C7" s="42" t="s">
        <v>40</v>
      </c>
      <c r="D7" s="42" t="s">
        <v>41</v>
      </c>
      <c r="E7" s="42" t="s">
        <v>42</v>
      </c>
      <c r="F7" s="43" t="s">
        <v>56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1"/>
      <c r="B8" s="44" t="s">
        <v>57</v>
      </c>
      <c r="C8" s="3"/>
      <c r="D8" s="3"/>
      <c r="E8" s="3"/>
      <c r="F8" s="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7" t="s">
        <v>58</v>
      </c>
      <c r="C9" s="45">
        <v>750.0</v>
      </c>
      <c r="D9" s="45">
        <v>600.0</v>
      </c>
      <c r="E9" s="45">
        <v>500.0</v>
      </c>
      <c r="F9" s="46">
        <f t="shared" ref="F9:F13" si="1">CHOOSE($C$5,C9,D9,E9)</f>
        <v>600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7" t="s">
        <v>59</v>
      </c>
      <c r="C10" s="45">
        <v>200.0</v>
      </c>
      <c r="D10" s="45">
        <v>100.0</v>
      </c>
      <c r="E10" s="45">
        <v>60.0</v>
      </c>
      <c r="F10" s="46">
        <f t="shared" si="1"/>
        <v>100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7" t="s">
        <v>60</v>
      </c>
      <c r="C11" s="45">
        <v>10.0</v>
      </c>
      <c r="D11" s="45">
        <v>10.0</v>
      </c>
      <c r="E11" s="45">
        <v>10.0</v>
      </c>
      <c r="F11" s="46">
        <f t="shared" si="1"/>
        <v>10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7" t="s">
        <v>61</v>
      </c>
      <c r="C12" s="45">
        <v>300.0</v>
      </c>
      <c r="D12" s="45">
        <v>200.0</v>
      </c>
      <c r="E12" s="45">
        <v>150.0</v>
      </c>
      <c r="F12" s="46">
        <f t="shared" si="1"/>
        <v>200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7" t="s">
        <v>62</v>
      </c>
      <c r="C13" s="45">
        <v>30.0</v>
      </c>
      <c r="D13" s="45">
        <v>30.0</v>
      </c>
      <c r="E13" s="45">
        <v>30.0</v>
      </c>
      <c r="F13" s="46">
        <f t="shared" si="1"/>
        <v>30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6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"/>
      <c r="B15" s="44" t="s">
        <v>63</v>
      </c>
      <c r="C15" s="3"/>
      <c r="D15" s="3"/>
      <c r="E15" s="3"/>
      <c r="F15" s="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7" t="s">
        <v>64</v>
      </c>
      <c r="C16" s="47">
        <v>0.3</v>
      </c>
      <c r="D16" s="47">
        <v>0.3</v>
      </c>
      <c r="E16" s="47">
        <v>0.3</v>
      </c>
      <c r="F16" s="48">
        <f t="shared" ref="F16:F18" si="2">CHOOSE($C$5,C16,D16,E16)</f>
        <v>0.3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7" t="s">
        <v>65</v>
      </c>
      <c r="C17" s="47">
        <v>0.015</v>
      </c>
      <c r="D17" s="47">
        <v>0.015</v>
      </c>
      <c r="E17" s="47">
        <v>0.015</v>
      </c>
      <c r="F17" s="48">
        <f t="shared" si="2"/>
        <v>0.015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7" t="s">
        <v>66</v>
      </c>
      <c r="C18" s="47">
        <v>0.02</v>
      </c>
      <c r="D18" s="49">
        <v>0.05</v>
      </c>
      <c r="E18" s="49">
        <v>0.1</v>
      </c>
      <c r="F18" s="48">
        <f t="shared" si="2"/>
        <v>0.05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6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1"/>
      <c r="B20" s="44" t="s">
        <v>67</v>
      </c>
      <c r="C20" s="3"/>
      <c r="D20" s="3"/>
      <c r="E20" s="3"/>
      <c r="F20" s="4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9" t="s">
        <v>68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7" t="s">
        <v>69</v>
      </c>
      <c r="C22" s="45">
        <v>5000.0</v>
      </c>
      <c r="D22" s="45">
        <v>5000.0</v>
      </c>
      <c r="E22" s="45">
        <v>5000.0</v>
      </c>
      <c r="F22" s="46">
        <f t="shared" ref="F22:F25" si="3">CHOOSE($C$5,C22,D22,E22)</f>
        <v>5000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7" t="s">
        <v>70</v>
      </c>
      <c r="C23" s="45">
        <v>5000.0</v>
      </c>
      <c r="D23" s="45">
        <v>5000.0</v>
      </c>
      <c r="E23" s="45">
        <v>5000.0</v>
      </c>
      <c r="F23" s="46">
        <f t="shared" si="3"/>
        <v>5000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7" t="s">
        <v>71</v>
      </c>
      <c r="C24" s="45">
        <v>10000.0</v>
      </c>
      <c r="D24" s="45">
        <v>10000.0</v>
      </c>
      <c r="E24" s="45">
        <v>10000.0</v>
      </c>
      <c r="F24" s="46">
        <f t="shared" si="3"/>
        <v>10000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7" t="s">
        <v>72</v>
      </c>
      <c r="C25" s="45">
        <v>20000.0</v>
      </c>
      <c r="D25" s="45">
        <v>20000.0</v>
      </c>
      <c r="E25" s="45">
        <v>20000.0</v>
      </c>
      <c r="F25" s="46">
        <f t="shared" si="3"/>
        <v>20000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6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1"/>
      <c r="B27" s="44" t="s">
        <v>73</v>
      </c>
      <c r="C27" s="3"/>
      <c r="D27" s="3"/>
      <c r="E27" s="3"/>
      <c r="F27" s="4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7" t="s">
        <v>74</v>
      </c>
      <c r="C28" s="45">
        <v>220000.0</v>
      </c>
      <c r="D28" s="45">
        <v>220000.0</v>
      </c>
      <c r="E28" s="45">
        <v>220000.0</v>
      </c>
      <c r="F28" s="46">
        <f t="shared" ref="F28:F39" si="4">CHOOSE($C$5,C28,D28,E28)</f>
        <v>220000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7" t="s">
        <v>75</v>
      </c>
      <c r="C29" s="45">
        <v>50000.0</v>
      </c>
      <c r="D29" s="45">
        <v>50000.0</v>
      </c>
      <c r="E29" s="45">
        <v>50000.0</v>
      </c>
      <c r="F29" s="46">
        <f t="shared" si="4"/>
        <v>50000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7" t="s">
        <v>76</v>
      </c>
      <c r="C30" s="45">
        <v>6658.0</v>
      </c>
      <c r="D30" s="45">
        <v>6658.0</v>
      </c>
      <c r="E30" s="45">
        <v>6658.0</v>
      </c>
      <c r="F30" s="46">
        <f t="shared" si="4"/>
        <v>6658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7" t="s">
        <v>77</v>
      </c>
      <c r="C31" s="45">
        <v>3500.0</v>
      </c>
      <c r="D31" s="45">
        <v>3500.0</v>
      </c>
      <c r="E31" s="45">
        <v>3500.0</v>
      </c>
      <c r="F31" s="46">
        <f t="shared" si="4"/>
        <v>3500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7" t="s">
        <v>78</v>
      </c>
      <c r="C32" s="45">
        <v>2000.0</v>
      </c>
      <c r="D32" s="45">
        <v>2000.0</v>
      </c>
      <c r="E32" s="45">
        <v>2000.0</v>
      </c>
      <c r="F32" s="46">
        <f t="shared" si="4"/>
        <v>2000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7" t="s">
        <v>79</v>
      </c>
      <c r="C33" s="45">
        <v>440000.0</v>
      </c>
      <c r="D33" s="45">
        <v>440000.0</v>
      </c>
      <c r="E33" s="45">
        <v>440000.0</v>
      </c>
      <c r="F33" s="46">
        <f t="shared" si="4"/>
        <v>440000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7" t="s">
        <v>80</v>
      </c>
      <c r="C34" s="45">
        <v>160000.0</v>
      </c>
      <c r="D34" s="45">
        <v>160000.0</v>
      </c>
      <c r="E34" s="45">
        <v>160000.0</v>
      </c>
      <c r="F34" s="46">
        <f t="shared" si="4"/>
        <v>160000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7" t="s">
        <v>81</v>
      </c>
      <c r="C35" s="45">
        <v>240000.0</v>
      </c>
      <c r="D35" s="45">
        <v>240000.0</v>
      </c>
      <c r="E35" s="45">
        <v>240000.0</v>
      </c>
      <c r="F35" s="46">
        <f t="shared" si="4"/>
        <v>240000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7" t="s">
        <v>82</v>
      </c>
      <c r="C36" s="45">
        <v>40000.0</v>
      </c>
      <c r="D36" s="45">
        <v>40000.0</v>
      </c>
      <c r="E36" s="45">
        <v>40000.0</v>
      </c>
      <c r="F36" s="46">
        <f t="shared" si="4"/>
        <v>40000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7" t="s">
        <v>83</v>
      </c>
      <c r="C37" s="45">
        <v>149600.0</v>
      </c>
      <c r="D37" s="45">
        <v>149600.0</v>
      </c>
      <c r="E37" s="45">
        <v>149600.0</v>
      </c>
      <c r="F37" s="46">
        <f t="shared" si="4"/>
        <v>149600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7" t="s">
        <v>84</v>
      </c>
      <c r="C38" s="45">
        <v>0.0</v>
      </c>
      <c r="D38" s="45">
        <v>0.0</v>
      </c>
      <c r="E38" s="45">
        <v>0.0</v>
      </c>
      <c r="F38" s="46">
        <f t="shared" si="4"/>
        <v>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7" t="s">
        <v>85</v>
      </c>
      <c r="C39" s="45">
        <v>20000.0</v>
      </c>
      <c r="D39" s="45">
        <v>20000.0</v>
      </c>
      <c r="E39" s="45">
        <v>20000.0</v>
      </c>
      <c r="F39" s="46">
        <f t="shared" si="4"/>
        <v>20000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6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9.5" customHeight="1">
      <c r="A41" s="1"/>
      <c r="B41" s="44" t="s">
        <v>86</v>
      </c>
      <c r="C41" s="3"/>
      <c r="D41" s="3"/>
      <c r="E41" s="3"/>
      <c r="F41" s="4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7" t="s">
        <v>87</v>
      </c>
      <c r="C42" s="45">
        <v>25000.0</v>
      </c>
      <c r="D42" s="45">
        <v>25000.0</v>
      </c>
      <c r="E42" s="45">
        <v>25000.0</v>
      </c>
      <c r="F42" s="46">
        <f>CHOOSE($C$5,C42,D42,E42)</f>
        <v>25000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6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9.5" customHeight="1">
      <c r="A44" s="1"/>
      <c r="B44" s="44" t="s">
        <v>88</v>
      </c>
      <c r="C44" s="3"/>
      <c r="D44" s="3"/>
      <c r="E44" s="3"/>
      <c r="F44" s="4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9" t="s">
        <v>89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7" t="s">
        <v>90</v>
      </c>
      <c r="C46" s="45">
        <v>1037400.0</v>
      </c>
      <c r="D46" s="45">
        <v>518700.0</v>
      </c>
      <c r="E46" s="45">
        <v>259350.0</v>
      </c>
      <c r="F46" s="46">
        <f t="shared" ref="F46:F48" si="5">CHOOSE($C$5,C46,D46,E46)</f>
        <v>518700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7" t="s">
        <v>91</v>
      </c>
      <c r="C47" s="45">
        <v>4123611.0</v>
      </c>
      <c r="D47" s="45">
        <v>4123611.0</v>
      </c>
      <c r="E47" s="45">
        <v>4123611.0</v>
      </c>
      <c r="F47" s="46">
        <f t="shared" si="5"/>
        <v>4123611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9.5" customHeight="1">
      <c r="A48" s="1"/>
      <c r="B48" s="50" t="s">
        <v>92</v>
      </c>
      <c r="C48" s="51">
        <v>5161011.0</v>
      </c>
      <c r="D48" s="51">
        <v>4642311.0</v>
      </c>
      <c r="E48" s="51">
        <v>4382961.0</v>
      </c>
      <c r="F48" s="46">
        <f t="shared" si="5"/>
        <v>4642311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5" t="s">
        <v>93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21:F21"/>
    <mergeCell ref="B27:F27"/>
    <mergeCell ref="B41:F41"/>
    <mergeCell ref="B44:F44"/>
    <mergeCell ref="B45:F45"/>
    <mergeCell ref="B50:F50"/>
    <mergeCell ref="B1:F1"/>
    <mergeCell ref="B3:F3"/>
    <mergeCell ref="B4:F4"/>
    <mergeCell ref="D5:E5"/>
    <mergeCell ref="B8:F8"/>
    <mergeCell ref="B15:F15"/>
    <mergeCell ref="B20:F20"/>
  </mergeCells>
  <dataValidations>
    <dataValidation type="decimal" allowBlank="1" showInputMessage="1" showErrorMessage="1" prompt="Неверное значение - Введите 1, 2 или 3" sqref="C5">
      <formula1>1.0</formula1>
      <formula2>3.0</formula2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5623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4.0"/>
    <col customWidth="1" min="2" max="2" width="41.14"/>
    <col customWidth="1" min="3" max="3" width="12.29"/>
    <col customWidth="1" min="4" max="38" width="14.14"/>
    <col customWidth="1" min="39" max="39" width="11.29"/>
    <col customWidth="1" min="40" max="41" width="12.29"/>
    <col customWidth="1" min="42" max="42" width="12.43"/>
  </cols>
  <sheetData>
    <row r="1" ht="25.5" customHeight="1">
      <c r="A1" s="52"/>
      <c r="B1" s="53" t="str">
        <f>IF('Вводные'!C5=1,"ФИНАНСОВАЯ МОДЕЛЬ — ОПТИМИСТИЧНЫЙ СЦЕНАРИЙ",IF('Вводные'!C5=2,"ФИНАНСОВАЯ МОДЕЛЬ — РЕАЛИСТИЧНЫЙ СЦЕНАРИЙ","ФИНАНСОВАЯ МОДЕЛЬ — ПЕССИМИСТИЧНЫЙ СЦЕНАРИЙ"))</f>
        <v>ФИНАНСОВАЯ МОДЕЛЬ — РЕАЛИСТИЧНЫЙ СЦЕНАРИЙ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4"/>
    </row>
    <row r="2" ht="12.75" customHeight="1">
      <c r="A2" s="52"/>
      <c r="B2" s="54" t="s">
        <v>94</v>
      </c>
      <c r="C2" s="55">
        <v>1.0</v>
      </c>
      <c r="D2" s="55">
        <v>2.0</v>
      </c>
      <c r="E2" s="55">
        <v>3.0</v>
      </c>
      <c r="F2" s="55">
        <v>4.0</v>
      </c>
      <c r="G2" s="55">
        <v>5.0</v>
      </c>
      <c r="H2" s="55">
        <v>6.0</v>
      </c>
      <c r="I2" s="55">
        <v>7.0</v>
      </c>
      <c r="J2" s="55">
        <v>8.0</v>
      </c>
      <c r="K2" s="55">
        <v>9.0</v>
      </c>
      <c r="L2" s="55">
        <v>10.0</v>
      </c>
      <c r="M2" s="55">
        <v>11.0</v>
      </c>
      <c r="N2" s="55">
        <v>12.0</v>
      </c>
      <c r="O2" s="55">
        <v>13.0</v>
      </c>
      <c r="P2" s="55">
        <v>14.0</v>
      </c>
      <c r="Q2" s="55">
        <v>15.0</v>
      </c>
      <c r="R2" s="55">
        <v>16.0</v>
      </c>
      <c r="S2" s="55">
        <v>17.0</v>
      </c>
      <c r="T2" s="55">
        <v>18.0</v>
      </c>
      <c r="U2" s="55">
        <v>19.0</v>
      </c>
      <c r="V2" s="55">
        <v>20.0</v>
      </c>
      <c r="W2" s="55">
        <v>21.0</v>
      </c>
      <c r="X2" s="55">
        <v>22.0</v>
      </c>
      <c r="Y2" s="55">
        <v>23.0</v>
      </c>
      <c r="Z2" s="55">
        <v>24.0</v>
      </c>
      <c r="AA2" s="55">
        <v>25.0</v>
      </c>
      <c r="AB2" s="55">
        <v>26.0</v>
      </c>
      <c r="AC2" s="55">
        <v>27.0</v>
      </c>
      <c r="AD2" s="55">
        <v>28.0</v>
      </c>
      <c r="AE2" s="55">
        <v>29.0</v>
      </c>
      <c r="AF2" s="55">
        <v>30.0</v>
      </c>
      <c r="AG2" s="55">
        <v>31.0</v>
      </c>
      <c r="AH2" s="55">
        <v>32.0</v>
      </c>
      <c r="AI2" s="55">
        <v>33.0</v>
      </c>
      <c r="AJ2" s="55">
        <v>34.0</v>
      </c>
      <c r="AK2" s="55">
        <v>35.0</v>
      </c>
      <c r="AL2" s="55">
        <v>36.0</v>
      </c>
      <c r="AM2" s="56" t="s">
        <v>95</v>
      </c>
      <c r="AN2" s="56" t="s">
        <v>96</v>
      </c>
      <c r="AO2" s="56" t="s">
        <v>97</v>
      </c>
      <c r="AP2" s="56" t="s">
        <v>98</v>
      </c>
    </row>
    <row r="3" ht="27.75" customHeight="1">
      <c r="A3" s="52"/>
      <c r="B3" s="57" t="s">
        <v>99</v>
      </c>
      <c r="C3" s="58" t="s">
        <v>100</v>
      </c>
      <c r="D3" s="58" t="s">
        <v>101</v>
      </c>
      <c r="E3" s="58" t="s">
        <v>102</v>
      </c>
      <c r="F3" s="58" t="s">
        <v>103</v>
      </c>
      <c r="G3" s="58" t="s">
        <v>104</v>
      </c>
      <c r="H3" s="58" t="s">
        <v>105</v>
      </c>
      <c r="I3" s="58" t="s">
        <v>106</v>
      </c>
      <c r="J3" s="58" t="s">
        <v>107</v>
      </c>
      <c r="K3" s="58" t="s">
        <v>108</v>
      </c>
      <c r="L3" s="58" t="s">
        <v>109</v>
      </c>
      <c r="M3" s="58" t="s">
        <v>110</v>
      </c>
      <c r="N3" s="58" t="s">
        <v>111</v>
      </c>
      <c r="O3" s="58" t="s">
        <v>112</v>
      </c>
      <c r="P3" s="58" t="s">
        <v>113</v>
      </c>
      <c r="Q3" s="58" t="s">
        <v>114</v>
      </c>
      <c r="R3" s="58" t="s">
        <v>115</v>
      </c>
      <c r="S3" s="58" t="s">
        <v>116</v>
      </c>
      <c r="T3" s="58" t="s">
        <v>117</v>
      </c>
      <c r="U3" s="58" t="s">
        <v>118</v>
      </c>
      <c r="V3" s="58" t="s">
        <v>119</v>
      </c>
      <c r="W3" s="58" t="s">
        <v>120</v>
      </c>
      <c r="X3" s="58" t="s">
        <v>121</v>
      </c>
      <c r="Y3" s="58" t="s">
        <v>122</v>
      </c>
      <c r="Z3" s="58" t="s">
        <v>123</v>
      </c>
      <c r="AA3" s="58" t="s">
        <v>124</v>
      </c>
      <c r="AB3" s="58" t="s">
        <v>125</v>
      </c>
      <c r="AC3" s="58" t="s">
        <v>126</v>
      </c>
      <c r="AD3" s="58" t="s">
        <v>127</v>
      </c>
      <c r="AE3" s="58" t="s">
        <v>128</v>
      </c>
      <c r="AF3" s="58" t="s">
        <v>129</v>
      </c>
      <c r="AG3" s="58" t="s">
        <v>130</v>
      </c>
      <c r="AH3" s="58" t="s">
        <v>131</v>
      </c>
      <c r="AI3" s="58" t="s">
        <v>132</v>
      </c>
      <c r="AJ3" s="58" t="s">
        <v>133</v>
      </c>
      <c r="AK3" s="58" t="s">
        <v>134</v>
      </c>
      <c r="AL3" s="58" t="s">
        <v>135</v>
      </c>
      <c r="AM3" s="59" t="s">
        <v>95</v>
      </c>
      <c r="AN3" s="59" t="s">
        <v>96</v>
      </c>
      <c r="AO3" s="59" t="s">
        <v>97</v>
      </c>
      <c r="AP3" s="60" t="s">
        <v>136</v>
      </c>
    </row>
    <row r="4" ht="21.75" customHeight="1">
      <c r="A4" s="52"/>
      <c r="B4" s="61" t="s">
        <v>137</v>
      </c>
      <c r="C4" s="62">
        <f t="shared" ref="C4:AL4" si="1">C6*C5</f>
        <v>1800000</v>
      </c>
      <c r="D4" s="62">
        <f t="shared" si="1"/>
        <v>1980000</v>
      </c>
      <c r="E4" s="62">
        <f t="shared" si="1"/>
        <v>2160000</v>
      </c>
      <c r="F4" s="62">
        <f t="shared" si="1"/>
        <v>2340000</v>
      </c>
      <c r="G4" s="62">
        <f t="shared" si="1"/>
        <v>2520000</v>
      </c>
      <c r="H4" s="62">
        <f t="shared" si="1"/>
        <v>2700000</v>
      </c>
      <c r="I4" s="62">
        <f t="shared" si="1"/>
        <v>2880000</v>
      </c>
      <c r="J4" s="62">
        <f t="shared" si="1"/>
        <v>3060000</v>
      </c>
      <c r="K4" s="62">
        <f t="shared" si="1"/>
        <v>3240000</v>
      </c>
      <c r="L4" s="62">
        <f t="shared" si="1"/>
        <v>3420000</v>
      </c>
      <c r="M4" s="62">
        <f t="shared" si="1"/>
        <v>3600000</v>
      </c>
      <c r="N4" s="62">
        <f t="shared" si="1"/>
        <v>3600000</v>
      </c>
      <c r="O4" s="62">
        <f t="shared" si="1"/>
        <v>3600000</v>
      </c>
      <c r="P4" s="62">
        <f t="shared" si="1"/>
        <v>3600000</v>
      </c>
      <c r="Q4" s="62">
        <f t="shared" si="1"/>
        <v>3600000</v>
      </c>
      <c r="R4" s="62">
        <f t="shared" si="1"/>
        <v>3600000</v>
      </c>
      <c r="S4" s="62">
        <f t="shared" si="1"/>
        <v>3600000</v>
      </c>
      <c r="T4" s="62">
        <f t="shared" si="1"/>
        <v>3600000</v>
      </c>
      <c r="U4" s="62">
        <f t="shared" si="1"/>
        <v>3600000</v>
      </c>
      <c r="V4" s="62">
        <f t="shared" si="1"/>
        <v>3600000</v>
      </c>
      <c r="W4" s="62">
        <f t="shared" si="1"/>
        <v>3600000</v>
      </c>
      <c r="X4" s="62">
        <f t="shared" si="1"/>
        <v>3600000</v>
      </c>
      <c r="Y4" s="62">
        <f t="shared" si="1"/>
        <v>3600000</v>
      </c>
      <c r="Z4" s="62">
        <f t="shared" si="1"/>
        <v>3600000</v>
      </c>
      <c r="AA4" s="62">
        <f t="shared" si="1"/>
        <v>3600000</v>
      </c>
      <c r="AB4" s="62">
        <f t="shared" si="1"/>
        <v>3600000</v>
      </c>
      <c r="AC4" s="62">
        <f t="shared" si="1"/>
        <v>3600000</v>
      </c>
      <c r="AD4" s="62">
        <f t="shared" si="1"/>
        <v>3600000</v>
      </c>
      <c r="AE4" s="62">
        <f t="shared" si="1"/>
        <v>3600000</v>
      </c>
      <c r="AF4" s="62">
        <f t="shared" si="1"/>
        <v>3600000</v>
      </c>
      <c r="AG4" s="62">
        <f t="shared" si="1"/>
        <v>3600000</v>
      </c>
      <c r="AH4" s="62">
        <f t="shared" si="1"/>
        <v>3600000</v>
      </c>
      <c r="AI4" s="62">
        <f t="shared" si="1"/>
        <v>3600000</v>
      </c>
      <c r="AJ4" s="62">
        <f t="shared" si="1"/>
        <v>3600000</v>
      </c>
      <c r="AK4" s="62">
        <f t="shared" si="1"/>
        <v>3600000</v>
      </c>
      <c r="AL4" s="62">
        <f t="shared" si="1"/>
        <v>3600000</v>
      </c>
      <c r="AM4" s="63">
        <f t="shared" ref="AM4:AM5" si="2">SUM(C4:N4)</f>
        <v>33300000</v>
      </c>
      <c r="AN4" s="63">
        <f t="shared" ref="AN4:AN5" si="3">SUM(O4:Z4)</f>
        <v>43200000</v>
      </c>
      <c r="AO4" s="63">
        <f t="shared" ref="AO4:AO5" si="4">SUM(AA4:AL4)</f>
        <v>43200000</v>
      </c>
      <c r="AP4" s="63">
        <f t="shared" ref="AP4:AP5" si="5">SUM(AM4:AO4)</f>
        <v>119700000</v>
      </c>
    </row>
    <row r="5" ht="16.5" customHeight="1">
      <c r="A5" s="52"/>
      <c r="B5" s="64" t="s">
        <v>138</v>
      </c>
      <c r="C5" s="65">
        <f>'Вводные'!$F$9</f>
        <v>600</v>
      </c>
      <c r="D5" s="65">
        <f>'Вводные'!$F$9</f>
        <v>600</v>
      </c>
      <c r="E5" s="65">
        <f>'Вводные'!$F$9</f>
        <v>600</v>
      </c>
      <c r="F5" s="65">
        <f>'Вводные'!$F$9</f>
        <v>600</v>
      </c>
      <c r="G5" s="65">
        <f>'Вводные'!$F$9</f>
        <v>600</v>
      </c>
      <c r="H5" s="65">
        <f>'Вводные'!$F$9</f>
        <v>600</v>
      </c>
      <c r="I5" s="65">
        <f>'Вводные'!$F$9</f>
        <v>600</v>
      </c>
      <c r="J5" s="65">
        <f>'Вводные'!$F$9</f>
        <v>600</v>
      </c>
      <c r="K5" s="65">
        <f>'Вводные'!$F$9</f>
        <v>600</v>
      </c>
      <c r="L5" s="65">
        <f>'Вводные'!$F$9</f>
        <v>600</v>
      </c>
      <c r="M5" s="65">
        <f>'Вводные'!$F$9</f>
        <v>600</v>
      </c>
      <c r="N5" s="65">
        <f>'Вводные'!$F$9</f>
        <v>600</v>
      </c>
      <c r="O5" s="65">
        <f>'Вводные'!$F$9</f>
        <v>600</v>
      </c>
      <c r="P5" s="65">
        <f>'Вводные'!$F$9</f>
        <v>600</v>
      </c>
      <c r="Q5" s="65">
        <f>'Вводные'!$F$9</f>
        <v>600</v>
      </c>
      <c r="R5" s="65">
        <f>'Вводные'!$F$9</f>
        <v>600</v>
      </c>
      <c r="S5" s="65">
        <f>'Вводные'!$F$9</f>
        <v>600</v>
      </c>
      <c r="T5" s="65">
        <f>'Вводные'!$F$9</f>
        <v>600</v>
      </c>
      <c r="U5" s="65">
        <f>'Вводные'!$F$9</f>
        <v>600</v>
      </c>
      <c r="V5" s="65">
        <f>'Вводные'!$F$9</f>
        <v>600</v>
      </c>
      <c r="W5" s="65">
        <f>'Вводные'!$F$9</f>
        <v>600</v>
      </c>
      <c r="X5" s="65">
        <f>'Вводные'!$F$9</f>
        <v>600</v>
      </c>
      <c r="Y5" s="65">
        <f>'Вводные'!$F$9</f>
        <v>600</v>
      </c>
      <c r="Z5" s="65">
        <f>'Вводные'!$F$9</f>
        <v>600</v>
      </c>
      <c r="AA5" s="65">
        <f>'Вводные'!$F$9</f>
        <v>600</v>
      </c>
      <c r="AB5" s="65">
        <f>'Вводные'!$F$9</f>
        <v>600</v>
      </c>
      <c r="AC5" s="65">
        <f>'Вводные'!$F$9</f>
        <v>600</v>
      </c>
      <c r="AD5" s="65">
        <f>'Вводные'!$F$9</f>
        <v>600</v>
      </c>
      <c r="AE5" s="65">
        <f>'Вводные'!$F$9</f>
        <v>600</v>
      </c>
      <c r="AF5" s="65">
        <f>'Вводные'!$F$9</f>
        <v>600</v>
      </c>
      <c r="AG5" s="65">
        <f>'Вводные'!$F$9</f>
        <v>600</v>
      </c>
      <c r="AH5" s="65">
        <f>'Вводные'!$F$9</f>
        <v>600</v>
      </c>
      <c r="AI5" s="65">
        <f>'Вводные'!$F$9</f>
        <v>600</v>
      </c>
      <c r="AJ5" s="65">
        <f>'Вводные'!$F$9</f>
        <v>600</v>
      </c>
      <c r="AK5" s="65">
        <f>'Вводные'!$F$9</f>
        <v>600</v>
      </c>
      <c r="AL5" s="65">
        <f>'Вводные'!$F$9</f>
        <v>600</v>
      </c>
      <c r="AM5" s="66">
        <f t="shared" si="2"/>
        <v>7200</v>
      </c>
      <c r="AN5" s="66">
        <f t="shared" si="3"/>
        <v>7200</v>
      </c>
      <c r="AO5" s="66">
        <f t="shared" si="4"/>
        <v>7200</v>
      </c>
      <c r="AP5" s="66">
        <f t="shared" si="5"/>
        <v>21600</v>
      </c>
    </row>
    <row r="6" ht="16.5" customHeight="1">
      <c r="A6" s="52"/>
      <c r="B6" s="64" t="s">
        <v>139</v>
      </c>
      <c r="C6" s="65">
        <f>MIN('Вводные'!$F$10+(C$2-1)*'Вводные'!$F$11,'Вводные'!$F$12)*'Вводные'!$F$13</f>
        <v>3000</v>
      </c>
      <c r="D6" s="65">
        <f>MIN('Вводные'!$F$10+(D$2-1)*'Вводные'!$F$11,'Вводные'!$F$12)*'Вводные'!$F$13</f>
        <v>3300</v>
      </c>
      <c r="E6" s="65">
        <f>MIN('Вводные'!$F$10+(E$2-1)*'Вводные'!$F$11,'Вводные'!$F$12)*'Вводные'!$F$13</f>
        <v>3600</v>
      </c>
      <c r="F6" s="65">
        <f>MIN('Вводные'!$F$10+(F$2-1)*'Вводные'!$F$11,'Вводные'!$F$12)*'Вводные'!$F$13</f>
        <v>3900</v>
      </c>
      <c r="G6" s="65">
        <f>MIN('Вводные'!$F$10+(G$2-1)*'Вводные'!$F$11,'Вводные'!$F$12)*'Вводные'!$F$13</f>
        <v>4200</v>
      </c>
      <c r="H6" s="65">
        <f>MIN('Вводные'!$F$10+(H$2-1)*'Вводные'!$F$11,'Вводные'!$F$12)*'Вводные'!$F$13</f>
        <v>4500</v>
      </c>
      <c r="I6" s="65">
        <f>MIN('Вводные'!$F$10+(I$2-1)*'Вводные'!$F$11,'Вводные'!$F$12)*'Вводные'!$F$13</f>
        <v>4800</v>
      </c>
      <c r="J6" s="65">
        <f>MIN('Вводные'!$F$10+(J$2-1)*'Вводные'!$F$11,'Вводные'!$F$12)*'Вводные'!$F$13</f>
        <v>5100</v>
      </c>
      <c r="K6" s="65">
        <f>MIN('Вводные'!$F$10+(K$2-1)*'Вводные'!$F$11,'Вводные'!$F$12)*'Вводные'!$F$13</f>
        <v>5400</v>
      </c>
      <c r="L6" s="65">
        <f>MIN('Вводные'!$F$10+(L$2-1)*'Вводные'!$F$11,'Вводные'!$F$12)*'Вводные'!$F$13</f>
        <v>5700</v>
      </c>
      <c r="M6" s="65">
        <f>MIN('Вводные'!$F$10+(M$2-1)*'Вводные'!$F$11,'Вводные'!$F$12)*'Вводные'!$F$13</f>
        <v>6000</v>
      </c>
      <c r="N6" s="65">
        <f>MIN('Вводные'!$F$10+(N$2-1)*'Вводные'!$F$11,'Вводные'!$F$12)*'Вводные'!$F$13</f>
        <v>6000</v>
      </c>
      <c r="O6" s="65">
        <f>MIN('Вводные'!$F$10+(O$2-1)*'Вводные'!$F$11,'Вводные'!$F$12)*'Вводные'!$F$13</f>
        <v>6000</v>
      </c>
      <c r="P6" s="65">
        <f>MIN('Вводные'!$F$10+(P$2-1)*'Вводные'!$F$11,'Вводные'!$F$12)*'Вводные'!$F$13</f>
        <v>6000</v>
      </c>
      <c r="Q6" s="65">
        <f>MIN('Вводные'!$F$10+(Q$2-1)*'Вводные'!$F$11,'Вводные'!$F$12)*'Вводные'!$F$13</f>
        <v>6000</v>
      </c>
      <c r="R6" s="65">
        <f>MIN('Вводные'!$F$10+(R$2-1)*'Вводные'!$F$11,'Вводные'!$F$12)*'Вводные'!$F$13</f>
        <v>6000</v>
      </c>
      <c r="S6" s="65">
        <f>MIN('Вводные'!$F$10+(S$2-1)*'Вводные'!$F$11,'Вводные'!$F$12)*'Вводные'!$F$13</f>
        <v>6000</v>
      </c>
      <c r="T6" s="65">
        <f>MIN('Вводные'!$F$10+(T$2-1)*'Вводные'!$F$11,'Вводные'!$F$12)*'Вводные'!$F$13</f>
        <v>6000</v>
      </c>
      <c r="U6" s="65">
        <f>MIN('Вводные'!$F$10+(U$2-1)*'Вводные'!$F$11,'Вводные'!$F$12)*'Вводные'!$F$13</f>
        <v>6000</v>
      </c>
      <c r="V6" s="65">
        <f>MIN('Вводные'!$F$10+(V$2-1)*'Вводные'!$F$11,'Вводные'!$F$12)*'Вводные'!$F$13</f>
        <v>6000</v>
      </c>
      <c r="W6" s="65">
        <f>MIN('Вводные'!$F$10+(W$2-1)*'Вводные'!$F$11,'Вводные'!$F$12)*'Вводные'!$F$13</f>
        <v>6000</v>
      </c>
      <c r="X6" s="65">
        <f>MIN('Вводные'!$F$10+(X$2-1)*'Вводные'!$F$11,'Вводные'!$F$12)*'Вводные'!$F$13</f>
        <v>6000</v>
      </c>
      <c r="Y6" s="65">
        <f>MIN('Вводные'!$F$10+(Y$2-1)*'Вводные'!$F$11,'Вводные'!$F$12)*'Вводные'!$F$13</f>
        <v>6000</v>
      </c>
      <c r="Z6" s="65">
        <f>MIN('Вводные'!$F$10+(Z$2-1)*'Вводные'!$F$11,'Вводные'!$F$12)*'Вводные'!$F$13</f>
        <v>6000</v>
      </c>
      <c r="AA6" s="65">
        <f>MIN('Вводные'!$F$10+(AA$2-1)*'Вводные'!$F$11,'Вводные'!$F$12)*'Вводные'!$F$13</f>
        <v>6000</v>
      </c>
      <c r="AB6" s="65">
        <f>MIN('Вводные'!$F$10+(AB$2-1)*'Вводные'!$F$11,'Вводные'!$F$12)*'Вводные'!$F$13</f>
        <v>6000</v>
      </c>
      <c r="AC6" s="65">
        <f>MIN('Вводные'!$F$10+(AC$2-1)*'Вводные'!$F$11,'Вводные'!$F$12)*'Вводные'!$F$13</f>
        <v>6000</v>
      </c>
      <c r="AD6" s="65">
        <f>MIN('Вводные'!$F$10+(AD$2-1)*'Вводные'!$F$11,'Вводные'!$F$12)*'Вводные'!$F$13</f>
        <v>6000</v>
      </c>
      <c r="AE6" s="65">
        <f>MIN('Вводные'!$F$10+(AE$2-1)*'Вводные'!$F$11,'Вводные'!$F$12)*'Вводные'!$F$13</f>
        <v>6000</v>
      </c>
      <c r="AF6" s="65">
        <f>MIN('Вводные'!$F$10+(AF$2-1)*'Вводные'!$F$11,'Вводные'!$F$12)*'Вводные'!$F$13</f>
        <v>6000</v>
      </c>
      <c r="AG6" s="65">
        <f>MIN('Вводные'!$F$10+(AG$2-1)*'Вводные'!$F$11,'Вводные'!$F$12)*'Вводные'!$F$13</f>
        <v>6000</v>
      </c>
      <c r="AH6" s="65">
        <f>MIN('Вводные'!$F$10+(AH$2-1)*'Вводные'!$F$11,'Вводные'!$F$12)*'Вводные'!$F$13</f>
        <v>6000</v>
      </c>
      <c r="AI6" s="65">
        <f>MIN('Вводные'!$F$10+(AI$2-1)*'Вводные'!$F$11,'Вводные'!$F$12)*'Вводные'!$F$13</f>
        <v>6000</v>
      </c>
      <c r="AJ6" s="65">
        <f>MIN('Вводные'!$F$10+(AJ$2-1)*'Вводные'!$F$11,'Вводные'!$F$12)*'Вводные'!$F$13</f>
        <v>6000</v>
      </c>
      <c r="AK6" s="65">
        <f>MIN('Вводные'!$F$10+(AK$2-1)*'Вводные'!$F$11,'Вводные'!$F$12)*'Вводные'!$F$13</f>
        <v>6000</v>
      </c>
      <c r="AL6" s="65">
        <f>MIN('Вводные'!$F$10+(AL$2-1)*'Вводные'!$F$11,'Вводные'!$F$12)*'Вводные'!$F$13</f>
        <v>6000</v>
      </c>
      <c r="AM6" s="66">
        <f>AVERAGE(C6:N6)</f>
        <v>4625</v>
      </c>
      <c r="AN6" s="66">
        <f>AVERAGE(O6:Z6)</f>
        <v>6000</v>
      </c>
      <c r="AO6" s="66">
        <f>AVERAGE(AA6:AL6)</f>
        <v>6000</v>
      </c>
      <c r="AP6" s="66">
        <f>AVERAGE(C6:AL6)</f>
        <v>5541.666667</v>
      </c>
    </row>
    <row r="7" ht="16.5" customHeight="1">
      <c r="A7" s="52"/>
      <c r="B7" s="64" t="s">
        <v>140</v>
      </c>
      <c r="C7" s="65">
        <f>MIN('Вводные'!$F$10+(C$2-1)*'Вводные'!$F$11,'Вводные'!$F$12)</f>
        <v>100</v>
      </c>
      <c r="D7" s="65">
        <f>MIN('Вводные'!$F$10+(D$2-1)*'Вводные'!$F$11,'Вводные'!$F$12)</f>
        <v>110</v>
      </c>
      <c r="E7" s="65">
        <f>MIN('Вводные'!$F$10+(E$2-1)*'Вводные'!$F$11,'Вводные'!$F$12)</f>
        <v>120</v>
      </c>
      <c r="F7" s="65">
        <f>MIN('Вводные'!$F$10+(F$2-1)*'Вводные'!$F$11,'Вводные'!$F$12)</f>
        <v>130</v>
      </c>
      <c r="G7" s="65">
        <f>MIN('Вводные'!$F$10+(G$2-1)*'Вводные'!$F$11,'Вводные'!$F$12)</f>
        <v>140</v>
      </c>
      <c r="H7" s="65">
        <f>MIN('Вводные'!$F$10+(H$2-1)*'Вводные'!$F$11,'Вводные'!$F$12)</f>
        <v>150</v>
      </c>
      <c r="I7" s="65">
        <f>MIN('Вводные'!$F$10+(I$2-1)*'Вводные'!$F$11,'Вводные'!$F$12)</f>
        <v>160</v>
      </c>
      <c r="J7" s="65">
        <f>MIN('Вводные'!$F$10+(J$2-1)*'Вводные'!$F$11,'Вводные'!$F$12)</f>
        <v>170</v>
      </c>
      <c r="K7" s="65">
        <f>MIN('Вводные'!$F$10+(K$2-1)*'Вводные'!$F$11,'Вводные'!$F$12)</f>
        <v>180</v>
      </c>
      <c r="L7" s="65">
        <f>MIN('Вводные'!$F$10+(L$2-1)*'Вводные'!$F$11,'Вводные'!$F$12)</f>
        <v>190</v>
      </c>
      <c r="M7" s="65">
        <f>MIN('Вводные'!$F$10+(M$2-1)*'Вводные'!$F$11,'Вводные'!$F$12)</f>
        <v>200</v>
      </c>
      <c r="N7" s="65">
        <f>MIN('Вводные'!$F$10+(N$2-1)*'Вводные'!$F$11,'Вводные'!$F$12)</f>
        <v>200</v>
      </c>
      <c r="O7" s="65">
        <f>MIN('Вводные'!$F$10+(O$2-1)*'Вводные'!$F$11,'Вводные'!$F$12)</f>
        <v>200</v>
      </c>
      <c r="P7" s="65">
        <f>MIN('Вводные'!$F$10+(P$2-1)*'Вводные'!$F$11,'Вводные'!$F$12)</f>
        <v>200</v>
      </c>
      <c r="Q7" s="65">
        <f>MIN('Вводные'!$F$10+(Q$2-1)*'Вводные'!$F$11,'Вводные'!$F$12)</f>
        <v>200</v>
      </c>
      <c r="R7" s="65">
        <f>MIN('Вводные'!$F$10+(R$2-1)*'Вводные'!$F$11,'Вводные'!$F$12)</f>
        <v>200</v>
      </c>
      <c r="S7" s="65">
        <f>MIN('Вводные'!$F$10+(S$2-1)*'Вводные'!$F$11,'Вводные'!$F$12)</f>
        <v>200</v>
      </c>
      <c r="T7" s="65">
        <f>MIN('Вводные'!$F$10+(T$2-1)*'Вводные'!$F$11,'Вводные'!$F$12)</f>
        <v>200</v>
      </c>
      <c r="U7" s="65">
        <f>MIN('Вводные'!$F$10+(U$2-1)*'Вводные'!$F$11,'Вводные'!$F$12)</f>
        <v>200</v>
      </c>
      <c r="V7" s="65">
        <f>MIN('Вводные'!$F$10+(V$2-1)*'Вводные'!$F$11,'Вводные'!$F$12)</f>
        <v>200</v>
      </c>
      <c r="W7" s="65">
        <f>MIN('Вводные'!$F$10+(W$2-1)*'Вводные'!$F$11,'Вводные'!$F$12)</f>
        <v>200</v>
      </c>
      <c r="X7" s="65">
        <f>MIN('Вводные'!$F$10+(X$2-1)*'Вводные'!$F$11,'Вводные'!$F$12)</f>
        <v>200</v>
      </c>
      <c r="Y7" s="65">
        <f>MIN('Вводные'!$F$10+(Y$2-1)*'Вводные'!$F$11,'Вводные'!$F$12)</f>
        <v>200</v>
      </c>
      <c r="Z7" s="65">
        <f>MIN('Вводные'!$F$10+(Z$2-1)*'Вводные'!$F$11,'Вводные'!$F$12)</f>
        <v>200</v>
      </c>
      <c r="AA7" s="65">
        <f>MIN('Вводные'!$F$10+(AA$2-1)*'Вводные'!$F$11,'Вводные'!$F$12)</f>
        <v>200</v>
      </c>
      <c r="AB7" s="65">
        <f>MIN('Вводные'!$F$10+(AB$2-1)*'Вводные'!$F$11,'Вводные'!$F$12)</f>
        <v>200</v>
      </c>
      <c r="AC7" s="65">
        <f>MIN('Вводные'!$F$10+(AC$2-1)*'Вводные'!$F$11,'Вводные'!$F$12)</f>
        <v>200</v>
      </c>
      <c r="AD7" s="65">
        <f>MIN('Вводные'!$F$10+(AD$2-1)*'Вводные'!$F$11,'Вводные'!$F$12)</f>
        <v>200</v>
      </c>
      <c r="AE7" s="65">
        <f>MIN('Вводные'!$F$10+(AE$2-1)*'Вводные'!$F$11,'Вводные'!$F$12)</f>
        <v>200</v>
      </c>
      <c r="AF7" s="65">
        <f>MIN('Вводные'!$F$10+(AF$2-1)*'Вводные'!$F$11,'Вводные'!$F$12)</f>
        <v>200</v>
      </c>
      <c r="AG7" s="65">
        <f>MIN('Вводные'!$F$10+(AG$2-1)*'Вводные'!$F$11,'Вводные'!$F$12)</f>
        <v>200</v>
      </c>
      <c r="AH7" s="65">
        <f>MIN('Вводные'!$F$10+(AH$2-1)*'Вводные'!$F$11,'Вводные'!$F$12)</f>
        <v>200</v>
      </c>
      <c r="AI7" s="65">
        <f>MIN('Вводные'!$F$10+(AI$2-1)*'Вводные'!$F$11,'Вводные'!$F$12)</f>
        <v>200</v>
      </c>
      <c r="AJ7" s="65">
        <f>MIN('Вводные'!$F$10+(AJ$2-1)*'Вводные'!$F$11,'Вводные'!$F$12)</f>
        <v>200</v>
      </c>
      <c r="AK7" s="65">
        <f>MIN('Вводные'!$F$10+(AK$2-1)*'Вводные'!$F$11,'Вводные'!$F$12)</f>
        <v>200</v>
      </c>
      <c r="AL7" s="65">
        <f>MIN('Вводные'!$F$10+(AL$2-1)*'Вводные'!$F$11,'Вводные'!$F$12)</f>
        <v>200</v>
      </c>
      <c r="AM7" s="52"/>
      <c r="AN7" s="52"/>
      <c r="AO7" s="52"/>
      <c r="AP7" s="52"/>
    </row>
    <row r="8" ht="4.5" customHeight="1">
      <c r="A8" s="52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</row>
    <row r="9" ht="21.75" customHeight="1">
      <c r="A9" s="52"/>
      <c r="B9" s="67" t="s">
        <v>141</v>
      </c>
      <c r="C9" s="68">
        <f t="shared" ref="C9:AL9" si="6">C10+C17</f>
        <v>1568358</v>
      </c>
      <c r="D9" s="68">
        <f t="shared" si="6"/>
        <v>1638518</v>
      </c>
      <c r="E9" s="68">
        <f t="shared" si="6"/>
        <v>1708678</v>
      </c>
      <c r="F9" s="68">
        <f t="shared" si="6"/>
        <v>1773838</v>
      </c>
      <c r="G9" s="68">
        <f t="shared" si="6"/>
        <v>1838998</v>
      </c>
      <c r="H9" s="68">
        <f t="shared" si="6"/>
        <v>1904158</v>
      </c>
      <c r="I9" s="68">
        <f t="shared" si="6"/>
        <v>1969318</v>
      </c>
      <c r="J9" s="68">
        <f t="shared" si="6"/>
        <v>2034478</v>
      </c>
      <c r="K9" s="68">
        <f t="shared" si="6"/>
        <v>2099638</v>
      </c>
      <c r="L9" s="68">
        <f t="shared" si="6"/>
        <v>2164798</v>
      </c>
      <c r="M9" s="68">
        <f t="shared" si="6"/>
        <v>2229958</v>
      </c>
      <c r="N9" s="68">
        <f t="shared" si="6"/>
        <v>2229958</v>
      </c>
      <c r="O9" s="68">
        <f t="shared" si="6"/>
        <v>2229958</v>
      </c>
      <c r="P9" s="68">
        <f t="shared" si="6"/>
        <v>2229958</v>
      </c>
      <c r="Q9" s="68">
        <f t="shared" si="6"/>
        <v>2229958</v>
      </c>
      <c r="R9" s="68">
        <f t="shared" si="6"/>
        <v>2229958</v>
      </c>
      <c r="S9" s="68">
        <f t="shared" si="6"/>
        <v>2229958</v>
      </c>
      <c r="T9" s="68">
        <f t="shared" si="6"/>
        <v>2229958</v>
      </c>
      <c r="U9" s="68">
        <f t="shared" si="6"/>
        <v>2229958</v>
      </c>
      <c r="V9" s="68">
        <f t="shared" si="6"/>
        <v>2229958</v>
      </c>
      <c r="W9" s="68">
        <f t="shared" si="6"/>
        <v>2229958</v>
      </c>
      <c r="X9" s="68">
        <f t="shared" si="6"/>
        <v>2229958</v>
      </c>
      <c r="Y9" s="68">
        <f t="shared" si="6"/>
        <v>2229958</v>
      </c>
      <c r="Z9" s="68">
        <f t="shared" si="6"/>
        <v>2229958</v>
      </c>
      <c r="AA9" s="68">
        <f t="shared" si="6"/>
        <v>2229958</v>
      </c>
      <c r="AB9" s="68">
        <f t="shared" si="6"/>
        <v>2229958</v>
      </c>
      <c r="AC9" s="68">
        <f t="shared" si="6"/>
        <v>2229958</v>
      </c>
      <c r="AD9" s="68">
        <f t="shared" si="6"/>
        <v>2229958</v>
      </c>
      <c r="AE9" s="68">
        <f t="shared" si="6"/>
        <v>2229958</v>
      </c>
      <c r="AF9" s="68">
        <f t="shared" si="6"/>
        <v>2229958</v>
      </c>
      <c r="AG9" s="68">
        <f t="shared" si="6"/>
        <v>2229958</v>
      </c>
      <c r="AH9" s="68">
        <f t="shared" si="6"/>
        <v>2229958</v>
      </c>
      <c r="AI9" s="68">
        <f t="shared" si="6"/>
        <v>2229958</v>
      </c>
      <c r="AJ9" s="68">
        <f t="shared" si="6"/>
        <v>2229958</v>
      </c>
      <c r="AK9" s="68">
        <f t="shared" si="6"/>
        <v>2229958</v>
      </c>
      <c r="AL9" s="68">
        <f t="shared" si="6"/>
        <v>2229958</v>
      </c>
      <c r="AM9" s="69">
        <f t="shared" ref="AM9:AM15" si="8">SUM(C9:N9)</f>
        <v>23160696</v>
      </c>
      <c r="AN9" s="69">
        <f t="shared" ref="AN9:AN15" si="9">SUM(O9:Z9)</f>
        <v>26759496</v>
      </c>
      <c r="AO9" s="69">
        <f t="shared" ref="AO9:AO15" si="10">SUM(AA9:AL9)</f>
        <v>26759496</v>
      </c>
      <c r="AP9" s="69">
        <f t="shared" ref="AP9:AP15" si="11">SUM(AM9:AO9)</f>
        <v>76679688</v>
      </c>
    </row>
    <row r="10" ht="19.5" customHeight="1">
      <c r="A10" s="52"/>
      <c r="B10" s="70" t="s">
        <v>142</v>
      </c>
      <c r="C10" s="68">
        <f t="shared" ref="C10:AL10" si="7">C11+C12+C13+C14+C15</f>
        <v>676600</v>
      </c>
      <c r="D10" s="68">
        <f t="shared" si="7"/>
        <v>746760</v>
      </c>
      <c r="E10" s="68">
        <f t="shared" si="7"/>
        <v>816920</v>
      </c>
      <c r="F10" s="68">
        <f t="shared" si="7"/>
        <v>882080</v>
      </c>
      <c r="G10" s="68">
        <f t="shared" si="7"/>
        <v>947240</v>
      </c>
      <c r="H10" s="68">
        <f t="shared" si="7"/>
        <v>1012400</v>
      </c>
      <c r="I10" s="68">
        <f t="shared" si="7"/>
        <v>1077560</v>
      </c>
      <c r="J10" s="68">
        <f t="shared" si="7"/>
        <v>1142720</v>
      </c>
      <c r="K10" s="68">
        <f t="shared" si="7"/>
        <v>1207880</v>
      </c>
      <c r="L10" s="68">
        <f t="shared" si="7"/>
        <v>1273040</v>
      </c>
      <c r="M10" s="68">
        <f t="shared" si="7"/>
        <v>1338200</v>
      </c>
      <c r="N10" s="68">
        <f t="shared" si="7"/>
        <v>1338200</v>
      </c>
      <c r="O10" s="68">
        <f t="shared" si="7"/>
        <v>1338200</v>
      </c>
      <c r="P10" s="68">
        <f t="shared" si="7"/>
        <v>1338200</v>
      </c>
      <c r="Q10" s="68">
        <f t="shared" si="7"/>
        <v>1338200</v>
      </c>
      <c r="R10" s="68">
        <f t="shared" si="7"/>
        <v>1338200</v>
      </c>
      <c r="S10" s="68">
        <f t="shared" si="7"/>
        <v>1338200</v>
      </c>
      <c r="T10" s="68">
        <f t="shared" si="7"/>
        <v>1338200</v>
      </c>
      <c r="U10" s="68">
        <f t="shared" si="7"/>
        <v>1338200</v>
      </c>
      <c r="V10" s="68">
        <f t="shared" si="7"/>
        <v>1338200</v>
      </c>
      <c r="W10" s="68">
        <f t="shared" si="7"/>
        <v>1338200</v>
      </c>
      <c r="X10" s="68">
        <f t="shared" si="7"/>
        <v>1338200</v>
      </c>
      <c r="Y10" s="68">
        <f t="shared" si="7"/>
        <v>1338200</v>
      </c>
      <c r="Z10" s="68">
        <f t="shared" si="7"/>
        <v>1338200</v>
      </c>
      <c r="AA10" s="68">
        <f t="shared" si="7"/>
        <v>1338200</v>
      </c>
      <c r="AB10" s="68">
        <f t="shared" si="7"/>
        <v>1338200</v>
      </c>
      <c r="AC10" s="68">
        <f t="shared" si="7"/>
        <v>1338200</v>
      </c>
      <c r="AD10" s="68">
        <f t="shared" si="7"/>
        <v>1338200</v>
      </c>
      <c r="AE10" s="68">
        <f t="shared" si="7"/>
        <v>1338200</v>
      </c>
      <c r="AF10" s="68">
        <f t="shared" si="7"/>
        <v>1338200</v>
      </c>
      <c r="AG10" s="68">
        <f t="shared" si="7"/>
        <v>1338200</v>
      </c>
      <c r="AH10" s="68">
        <f t="shared" si="7"/>
        <v>1338200</v>
      </c>
      <c r="AI10" s="68">
        <f t="shared" si="7"/>
        <v>1338200</v>
      </c>
      <c r="AJ10" s="68">
        <f t="shared" si="7"/>
        <v>1338200</v>
      </c>
      <c r="AK10" s="68">
        <f t="shared" si="7"/>
        <v>1338200</v>
      </c>
      <c r="AL10" s="68">
        <f t="shared" si="7"/>
        <v>1338200</v>
      </c>
      <c r="AM10" s="69">
        <f t="shared" si="8"/>
        <v>12459600</v>
      </c>
      <c r="AN10" s="69">
        <f t="shared" si="9"/>
        <v>16058400</v>
      </c>
      <c r="AO10" s="69">
        <f t="shared" si="10"/>
        <v>16058400</v>
      </c>
      <c r="AP10" s="69">
        <f t="shared" si="11"/>
        <v>44576400</v>
      </c>
    </row>
    <row r="11" ht="16.5" customHeight="1">
      <c r="A11" s="52"/>
      <c r="B11" s="64" t="s">
        <v>143</v>
      </c>
      <c r="C11" s="65">
        <f>'Вводные'!$F$22+MIN(IF(C$2=1,0,(C$2-1)*'Вводные'!$F$23),'Вводные'!$F$24)</f>
        <v>5000</v>
      </c>
      <c r="D11" s="65">
        <f>'Вводные'!$F$22+MIN(IF(D$2=1,0,(D$2-1)*'Вводные'!$F$23),'Вводные'!$F$24)</f>
        <v>10000</v>
      </c>
      <c r="E11" s="65">
        <f>'Вводные'!$F$22+MIN(IF(E$2=1,0,(E$2-1)*'Вводные'!$F$23),'Вводные'!$F$24)</f>
        <v>15000</v>
      </c>
      <c r="F11" s="65">
        <f>'Вводные'!$F$22+MIN(IF(F$2=1,0,(F$2-1)*'Вводные'!$F$23),'Вводные'!$F$24)</f>
        <v>15000</v>
      </c>
      <c r="G11" s="65">
        <f>'Вводные'!$F$22+MIN(IF(G$2=1,0,(G$2-1)*'Вводные'!$F$23),'Вводные'!$F$24)</f>
        <v>15000</v>
      </c>
      <c r="H11" s="65">
        <f>'Вводные'!$F$22+MIN(IF(H$2=1,0,(H$2-1)*'Вводные'!$F$23),'Вводные'!$F$24)</f>
        <v>15000</v>
      </c>
      <c r="I11" s="65">
        <f>'Вводные'!$F$22+MIN(IF(I$2=1,0,(I$2-1)*'Вводные'!$F$23),'Вводные'!$F$24)</f>
        <v>15000</v>
      </c>
      <c r="J11" s="65">
        <f>'Вводные'!$F$22+MIN(IF(J$2=1,0,(J$2-1)*'Вводные'!$F$23),'Вводные'!$F$24)</f>
        <v>15000</v>
      </c>
      <c r="K11" s="65">
        <f>'Вводные'!$F$22+MIN(IF(K$2=1,0,(K$2-1)*'Вводные'!$F$23),'Вводные'!$F$24)</f>
        <v>15000</v>
      </c>
      <c r="L11" s="65">
        <f>'Вводные'!$F$22+MIN(IF(L$2=1,0,(L$2-1)*'Вводные'!$F$23),'Вводные'!$F$24)</f>
        <v>15000</v>
      </c>
      <c r="M11" s="65">
        <f>'Вводные'!$F$22+MIN(IF(M$2=1,0,(M$2-1)*'Вводные'!$F$23),'Вводные'!$F$24)</f>
        <v>15000</v>
      </c>
      <c r="N11" s="65">
        <f>'Вводные'!$F$22+MIN(IF(N$2=1,0,(N$2-1)*'Вводные'!$F$23),'Вводные'!$F$24)</f>
        <v>15000</v>
      </c>
      <c r="O11" s="65">
        <f>'Вводные'!$F$22+MIN(IF(O$2=1,0,(O$2-1)*'Вводные'!$F$23),'Вводные'!$F$24)</f>
        <v>15000</v>
      </c>
      <c r="P11" s="65">
        <f>'Вводные'!$F$22+MIN(IF(P$2=1,0,(P$2-1)*'Вводные'!$F$23),'Вводные'!$F$24)</f>
        <v>15000</v>
      </c>
      <c r="Q11" s="65">
        <f>'Вводные'!$F$22+MIN(IF(Q$2=1,0,(Q$2-1)*'Вводные'!$F$23),'Вводные'!$F$24)</f>
        <v>15000</v>
      </c>
      <c r="R11" s="65">
        <f>'Вводные'!$F$22+MIN(IF(R$2=1,0,(R$2-1)*'Вводные'!$F$23),'Вводные'!$F$24)</f>
        <v>15000</v>
      </c>
      <c r="S11" s="65">
        <f>'Вводные'!$F$22+MIN(IF(S$2=1,0,(S$2-1)*'Вводные'!$F$23),'Вводные'!$F$24)</f>
        <v>15000</v>
      </c>
      <c r="T11" s="65">
        <f>'Вводные'!$F$22+MIN(IF(T$2=1,0,(T$2-1)*'Вводные'!$F$23),'Вводные'!$F$24)</f>
        <v>15000</v>
      </c>
      <c r="U11" s="65">
        <f>'Вводные'!$F$22+MIN(IF(U$2=1,0,(U$2-1)*'Вводные'!$F$23),'Вводные'!$F$24)</f>
        <v>15000</v>
      </c>
      <c r="V11" s="65">
        <f>'Вводные'!$F$22+MIN(IF(V$2=1,0,(V$2-1)*'Вводные'!$F$23),'Вводные'!$F$24)</f>
        <v>15000</v>
      </c>
      <c r="W11" s="65">
        <f>'Вводные'!$F$22+MIN(IF(W$2=1,0,(W$2-1)*'Вводные'!$F$23),'Вводные'!$F$24)</f>
        <v>15000</v>
      </c>
      <c r="X11" s="65">
        <f>'Вводные'!$F$22+MIN(IF(X$2=1,0,(X$2-1)*'Вводные'!$F$23),'Вводные'!$F$24)</f>
        <v>15000</v>
      </c>
      <c r="Y11" s="65">
        <f>'Вводные'!$F$22+MIN(IF(Y$2=1,0,(Y$2-1)*'Вводные'!$F$23),'Вводные'!$F$24)</f>
        <v>15000</v>
      </c>
      <c r="Z11" s="65">
        <f>'Вводные'!$F$22+MIN(IF(Z$2=1,0,(Z$2-1)*'Вводные'!$F$23),'Вводные'!$F$24)</f>
        <v>15000</v>
      </c>
      <c r="AA11" s="65">
        <f>'Вводные'!$F$22+MIN(IF(AA$2=1,0,(AA$2-1)*'Вводные'!$F$23),'Вводные'!$F$24)</f>
        <v>15000</v>
      </c>
      <c r="AB11" s="65">
        <f>'Вводные'!$F$22+MIN(IF(AB$2=1,0,(AB$2-1)*'Вводные'!$F$23),'Вводные'!$F$24)</f>
        <v>15000</v>
      </c>
      <c r="AC11" s="65">
        <f>'Вводные'!$F$22+MIN(IF(AC$2=1,0,(AC$2-1)*'Вводные'!$F$23),'Вводные'!$F$24)</f>
        <v>15000</v>
      </c>
      <c r="AD11" s="65">
        <f>'Вводные'!$F$22+MIN(IF(AD$2=1,0,(AD$2-1)*'Вводные'!$F$23),'Вводные'!$F$24)</f>
        <v>15000</v>
      </c>
      <c r="AE11" s="65">
        <f>'Вводные'!$F$22+MIN(IF(AE$2=1,0,(AE$2-1)*'Вводные'!$F$23),'Вводные'!$F$24)</f>
        <v>15000</v>
      </c>
      <c r="AF11" s="65">
        <f>'Вводные'!$F$22+MIN(IF(AF$2=1,0,(AF$2-1)*'Вводные'!$F$23),'Вводные'!$F$24)</f>
        <v>15000</v>
      </c>
      <c r="AG11" s="65">
        <f>'Вводные'!$F$22+MIN(IF(AG$2=1,0,(AG$2-1)*'Вводные'!$F$23),'Вводные'!$F$24)</f>
        <v>15000</v>
      </c>
      <c r="AH11" s="65">
        <f>'Вводные'!$F$22+MIN(IF(AH$2=1,0,(AH$2-1)*'Вводные'!$F$23),'Вводные'!$F$24)</f>
        <v>15000</v>
      </c>
      <c r="AI11" s="65">
        <f>'Вводные'!$F$22+MIN(IF(AI$2=1,0,(AI$2-1)*'Вводные'!$F$23),'Вводные'!$F$24)</f>
        <v>15000</v>
      </c>
      <c r="AJ11" s="65">
        <f>'Вводные'!$F$22+MIN(IF(AJ$2=1,0,(AJ$2-1)*'Вводные'!$F$23),'Вводные'!$F$24)</f>
        <v>15000</v>
      </c>
      <c r="AK11" s="65">
        <f>'Вводные'!$F$22+MIN(IF(AK$2=1,0,(AK$2-1)*'Вводные'!$F$23),'Вводные'!$F$24)</f>
        <v>15000</v>
      </c>
      <c r="AL11" s="65">
        <f>'Вводные'!$F$22+MIN(IF(AL$2=1,0,(AL$2-1)*'Вводные'!$F$23),'Вводные'!$F$24)</f>
        <v>15000</v>
      </c>
      <c r="AM11" s="66">
        <f t="shared" si="8"/>
        <v>165000</v>
      </c>
      <c r="AN11" s="66">
        <f t="shared" si="9"/>
        <v>180000</v>
      </c>
      <c r="AO11" s="66">
        <f t="shared" si="10"/>
        <v>180000</v>
      </c>
      <c r="AP11" s="66">
        <f t="shared" si="11"/>
        <v>525000</v>
      </c>
    </row>
    <row r="12" ht="16.5" customHeight="1">
      <c r="A12" s="52"/>
      <c r="B12" s="64" t="s">
        <v>144</v>
      </c>
      <c r="C12" s="65">
        <f>C4*'Вводные'!$F$16</f>
        <v>540000</v>
      </c>
      <c r="D12" s="65">
        <f>D4*'Вводные'!$F$16</f>
        <v>594000</v>
      </c>
      <c r="E12" s="65">
        <f>E4*'Вводные'!$F$16</f>
        <v>648000</v>
      </c>
      <c r="F12" s="65">
        <f>F4*'Вводные'!$F$16</f>
        <v>702000</v>
      </c>
      <c r="G12" s="65">
        <f>G4*'Вводные'!$F$16</f>
        <v>756000</v>
      </c>
      <c r="H12" s="65">
        <f>H4*'Вводные'!$F$16</f>
        <v>810000</v>
      </c>
      <c r="I12" s="65">
        <f>I4*'Вводные'!$F$16</f>
        <v>864000</v>
      </c>
      <c r="J12" s="65">
        <f>J4*'Вводные'!$F$16</f>
        <v>918000</v>
      </c>
      <c r="K12" s="65">
        <f>K4*'Вводные'!$F$16</f>
        <v>972000</v>
      </c>
      <c r="L12" s="65">
        <f>L4*'Вводные'!$F$16</f>
        <v>1026000</v>
      </c>
      <c r="M12" s="65">
        <f>M4*'Вводные'!$F$16</f>
        <v>1080000</v>
      </c>
      <c r="N12" s="65">
        <f>N4*'Вводные'!$F$16</f>
        <v>1080000</v>
      </c>
      <c r="O12" s="65">
        <f>O4*'Вводные'!$F$16</f>
        <v>1080000</v>
      </c>
      <c r="P12" s="65">
        <f>P4*'Вводные'!$F$16</f>
        <v>1080000</v>
      </c>
      <c r="Q12" s="65">
        <f>Q4*'Вводные'!$F$16</f>
        <v>1080000</v>
      </c>
      <c r="R12" s="65">
        <f>R4*'Вводные'!$F$16</f>
        <v>1080000</v>
      </c>
      <c r="S12" s="65">
        <f>S4*'Вводные'!$F$16</f>
        <v>1080000</v>
      </c>
      <c r="T12" s="65">
        <f>T4*'Вводные'!$F$16</f>
        <v>1080000</v>
      </c>
      <c r="U12" s="65">
        <f>U4*'Вводные'!$F$16</f>
        <v>1080000</v>
      </c>
      <c r="V12" s="65">
        <f>V4*'Вводные'!$F$16</f>
        <v>1080000</v>
      </c>
      <c r="W12" s="65">
        <f>W4*'Вводные'!$F$16</f>
        <v>1080000</v>
      </c>
      <c r="X12" s="65">
        <f>X4*'Вводные'!$F$16</f>
        <v>1080000</v>
      </c>
      <c r="Y12" s="65">
        <f>Y4*'Вводные'!$F$16</f>
        <v>1080000</v>
      </c>
      <c r="Z12" s="65">
        <f>Z4*'Вводные'!$F$16</f>
        <v>1080000</v>
      </c>
      <c r="AA12" s="65">
        <f>AA4*'Вводные'!$F$16</f>
        <v>1080000</v>
      </c>
      <c r="AB12" s="65">
        <f>AB4*'Вводные'!$F$16</f>
        <v>1080000</v>
      </c>
      <c r="AC12" s="65">
        <f>AC4*'Вводные'!$F$16</f>
        <v>1080000</v>
      </c>
      <c r="AD12" s="65">
        <f>AD4*'Вводные'!$F$16</f>
        <v>1080000</v>
      </c>
      <c r="AE12" s="65">
        <f>AE4*'Вводные'!$F$16</f>
        <v>1080000</v>
      </c>
      <c r="AF12" s="65">
        <f>AF4*'Вводные'!$F$16</f>
        <v>1080000</v>
      </c>
      <c r="AG12" s="65">
        <f>AG4*'Вводные'!$F$16</f>
        <v>1080000</v>
      </c>
      <c r="AH12" s="65">
        <f>AH4*'Вводные'!$F$16</f>
        <v>1080000</v>
      </c>
      <c r="AI12" s="65">
        <f>AI4*'Вводные'!$F$16</f>
        <v>1080000</v>
      </c>
      <c r="AJ12" s="65">
        <f>AJ4*'Вводные'!$F$16</f>
        <v>1080000</v>
      </c>
      <c r="AK12" s="65">
        <f>AK4*'Вводные'!$F$16</f>
        <v>1080000</v>
      </c>
      <c r="AL12" s="65">
        <f>AL4*'Вводные'!$F$16</f>
        <v>1080000</v>
      </c>
      <c r="AM12" s="66">
        <f t="shared" si="8"/>
        <v>9990000</v>
      </c>
      <c r="AN12" s="66">
        <f t="shared" si="9"/>
        <v>12960000</v>
      </c>
      <c r="AO12" s="66">
        <f t="shared" si="10"/>
        <v>12960000</v>
      </c>
      <c r="AP12" s="66">
        <f t="shared" si="11"/>
        <v>35910000</v>
      </c>
    </row>
    <row r="13" ht="16.5" customHeight="1">
      <c r="A13" s="52"/>
      <c r="B13" s="64" t="s">
        <v>145</v>
      </c>
      <c r="C13" s="65">
        <f>C4*0.8*'Вводные'!$F$17</f>
        <v>21600</v>
      </c>
      <c r="D13" s="65">
        <f>D4*0.8*'Вводные'!$F$17</f>
        <v>23760</v>
      </c>
      <c r="E13" s="65">
        <f>E4*0.8*'Вводные'!$F$17</f>
        <v>25920</v>
      </c>
      <c r="F13" s="65">
        <f>F4*0.8*'Вводные'!$F$17</f>
        <v>28080</v>
      </c>
      <c r="G13" s="65">
        <f>G4*0.8*'Вводные'!$F$17</f>
        <v>30240</v>
      </c>
      <c r="H13" s="65">
        <f>H4*0.8*'Вводные'!$F$17</f>
        <v>32400</v>
      </c>
      <c r="I13" s="65">
        <f>I4*0.8*'Вводные'!$F$17</f>
        <v>34560</v>
      </c>
      <c r="J13" s="65">
        <f>J4*0.8*'Вводные'!$F$17</f>
        <v>36720</v>
      </c>
      <c r="K13" s="65">
        <f>K4*0.8*'Вводные'!$F$17</f>
        <v>38880</v>
      </c>
      <c r="L13" s="65">
        <f>L4*0.8*'Вводные'!$F$17</f>
        <v>41040</v>
      </c>
      <c r="M13" s="65">
        <f>M4*0.8*'Вводные'!$F$17</f>
        <v>43200</v>
      </c>
      <c r="N13" s="65">
        <f>N4*0.8*'Вводные'!$F$17</f>
        <v>43200</v>
      </c>
      <c r="O13" s="65">
        <f>O4*0.8*'Вводные'!$F$17</f>
        <v>43200</v>
      </c>
      <c r="P13" s="65">
        <f>P4*0.8*'Вводные'!$F$17</f>
        <v>43200</v>
      </c>
      <c r="Q13" s="65">
        <f>Q4*0.8*'Вводные'!$F$17</f>
        <v>43200</v>
      </c>
      <c r="R13" s="65">
        <f>R4*0.8*'Вводные'!$F$17</f>
        <v>43200</v>
      </c>
      <c r="S13" s="65">
        <f>S4*0.8*'Вводные'!$F$17</f>
        <v>43200</v>
      </c>
      <c r="T13" s="65">
        <f>T4*0.8*'Вводные'!$F$17</f>
        <v>43200</v>
      </c>
      <c r="U13" s="65">
        <f>U4*0.8*'Вводные'!$F$17</f>
        <v>43200</v>
      </c>
      <c r="V13" s="65">
        <f>V4*0.8*'Вводные'!$F$17</f>
        <v>43200</v>
      </c>
      <c r="W13" s="65">
        <f>W4*0.8*'Вводные'!$F$17</f>
        <v>43200</v>
      </c>
      <c r="X13" s="65">
        <f>X4*0.8*'Вводные'!$F$17</f>
        <v>43200</v>
      </c>
      <c r="Y13" s="65">
        <f>Y4*0.8*'Вводные'!$F$17</f>
        <v>43200</v>
      </c>
      <c r="Z13" s="65">
        <f>Z4*0.8*'Вводные'!$F$17</f>
        <v>43200</v>
      </c>
      <c r="AA13" s="65">
        <f>AA4*0.8*'Вводные'!$F$17</f>
        <v>43200</v>
      </c>
      <c r="AB13" s="65">
        <f>AB4*0.8*'Вводные'!$F$17</f>
        <v>43200</v>
      </c>
      <c r="AC13" s="65">
        <f>AC4*0.8*'Вводные'!$F$17</f>
        <v>43200</v>
      </c>
      <c r="AD13" s="65">
        <f>AD4*0.8*'Вводные'!$F$17</f>
        <v>43200</v>
      </c>
      <c r="AE13" s="65">
        <f>AE4*0.8*'Вводные'!$F$17</f>
        <v>43200</v>
      </c>
      <c r="AF13" s="65">
        <f>AF4*0.8*'Вводные'!$F$17</f>
        <v>43200</v>
      </c>
      <c r="AG13" s="65">
        <f>AG4*0.8*'Вводные'!$F$17</f>
        <v>43200</v>
      </c>
      <c r="AH13" s="65">
        <f>AH4*0.8*'Вводные'!$F$17</f>
        <v>43200</v>
      </c>
      <c r="AI13" s="65">
        <f>AI4*0.8*'Вводные'!$F$17</f>
        <v>43200</v>
      </c>
      <c r="AJ13" s="65">
        <f>AJ4*0.8*'Вводные'!$F$17</f>
        <v>43200</v>
      </c>
      <c r="AK13" s="65">
        <f>AK4*0.8*'Вводные'!$F$17</f>
        <v>43200</v>
      </c>
      <c r="AL13" s="65">
        <f>AL4*0.8*'Вводные'!$F$17</f>
        <v>43200</v>
      </c>
      <c r="AM13" s="66">
        <f t="shared" si="8"/>
        <v>399600</v>
      </c>
      <c r="AN13" s="66">
        <f t="shared" si="9"/>
        <v>518400</v>
      </c>
      <c r="AO13" s="66">
        <f t="shared" si="10"/>
        <v>518400</v>
      </c>
      <c r="AP13" s="66">
        <f t="shared" si="11"/>
        <v>1436400</v>
      </c>
    </row>
    <row r="14" ht="16.5" customHeight="1">
      <c r="A14" s="52"/>
      <c r="B14" s="64" t="s">
        <v>146</v>
      </c>
      <c r="C14" s="65">
        <f>'Вводные'!$F$25</f>
        <v>20000</v>
      </c>
      <c r="D14" s="65">
        <f>'Вводные'!$F$25</f>
        <v>20000</v>
      </c>
      <c r="E14" s="65">
        <f>'Вводные'!$F$25</f>
        <v>20000</v>
      </c>
      <c r="F14" s="65">
        <f>'Вводные'!$F$25</f>
        <v>20000</v>
      </c>
      <c r="G14" s="65">
        <f>'Вводные'!$F$25</f>
        <v>20000</v>
      </c>
      <c r="H14" s="65">
        <f>'Вводные'!$F$25</f>
        <v>20000</v>
      </c>
      <c r="I14" s="65">
        <f>'Вводные'!$F$25</f>
        <v>20000</v>
      </c>
      <c r="J14" s="65">
        <f>'Вводные'!$F$25</f>
        <v>20000</v>
      </c>
      <c r="K14" s="65">
        <f>'Вводные'!$F$25</f>
        <v>20000</v>
      </c>
      <c r="L14" s="65">
        <f>'Вводные'!$F$25</f>
        <v>20000</v>
      </c>
      <c r="M14" s="65">
        <f>'Вводные'!$F$25</f>
        <v>20000</v>
      </c>
      <c r="N14" s="65">
        <f>'Вводные'!$F$25</f>
        <v>20000</v>
      </c>
      <c r="O14" s="65">
        <f>'Вводные'!$F$25</f>
        <v>20000</v>
      </c>
      <c r="P14" s="65">
        <f>'Вводные'!$F$25</f>
        <v>20000</v>
      </c>
      <c r="Q14" s="65">
        <f>'Вводные'!$F$25</f>
        <v>20000</v>
      </c>
      <c r="R14" s="65">
        <f>'Вводные'!$F$25</f>
        <v>20000</v>
      </c>
      <c r="S14" s="65">
        <f>'Вводные'!$F$25</f>
        <v>20000</v>
      </c>
      <c r="T14" s="65">
        <f>'Вводные'!$F$25</f>
        <v>20000</v>
      </c>
      <c r="U14" s="65">
        <f>'Вводные'!$F$25</f>
        <v>20000</v>
      </c>
      <c r="V14" s="65">
        <f>'Вводные'!$F$25</f>
        <v>20000</v>
      </c>
      <c r="W14" s="65">
        <f>'Вводные'!$F$25</f>
        <v>20000</v>
      </c>
      <c r="X14" s="65">
        <f>'Вводные'!$F$25</f>
        <v>20000</v>
      </c>
      <c r="Y14" s="65">
        <f>'Вводные'!$F$25</f>
        <v>20000</v>
      </c>
      <c r="Z14" s="65">
        <f>'Вводные'!$F$25</f>
        <v>20000</v>
      </c>
      <c r="AA14" s="65">
        <f>'Вводные'!$F$25</f>
        <v>20000</v>
      </c>
      <c r="AB14" s="65">
        <f>'Вводные'!$F$25</f>
        <v>20000</v>
      </c>
      <c r="AC14" s="65">
        <f>'Вводные'!$F$25</f>
        <v>20000</v>
      </c>
      <c r="AD14" s="65">
        <f>'Вводные'!$F$25</f>
        <v>20000</v>
      </c>
      <c r="AE14" s="65">
        <f>'Вводные'!$F$25</f>
        <v>20000</v>
      </c>
      <c r="AF14" s="65">
        <f>'Вводные'!$F$25</f>
        <v>20000</v>
      </c>
      <c r="AG14" s="65">
        <f>'Вводные'!$F$25</f>
        <v>20000</v>
      </c>
      <c r="AH14" s="65">
        <f>'Вводные'!$F$25</f>
        <v>20000</v>
      </c>
      <c r="AI14" s="65">
        <f>'Вводные'!$F$25</f>
        <v>20000</v>
      </c>
      <c r="AJ14" s="65">
        <f>'Вводные'!$F$25</f>
        <v>20000</v>
      </c>
      <c r="AK14" s="65">
        <f>'Вводные'!$F$25</f>
        <v>20000</v>
      </c>
      <c r="AL14" s="65">
        <f>'Вводные'!$F$25</f>
        <v>20000</v>
      </c>
      <c r="AM14" s="66">
        <f t="shared" si="8"/>
        <v>240000</v>
      </c>
      <c r="AN14" s="66">
        <f t="shared" si="9"/>
        <v>240000</v>
      </c>
      <c r="AO14" s="66">
        <f t="shared" si="10"/>
        <v>240000</v>
      </c>
      <c r="AP14" s="66">
        <f t="shared" si="11"/>
        <v>720000</v>
      </c>
    </row>
    <row r="15" ht="16.5" customHeight="1">
      <c r="A15" s="52"/>
      <c r="B15" s="64" t="s">
        <v>147</v>
      </c>
      <c r="C15" s="65">
        <f>C4*'Вводные'!$F$18</f>
        <v>90000</v>
      </c>
      <c r="D15" s="65">
        <f>D4*'Вводные'!$F$18</f>
        <v>99000</v>
      </c>
      <c r="E15" s="65">
        <f>E4*'Вводные'!$F$18</f>
        <v>108000</v>
      </c>
      <c r="F15" s="65">
        <f>F4*'Вводные'!$F$18</f>
        <v>117000</v>
      </c>
      <c r="G15" s="65">
        <f>G4*'Вводные'!$F$18</f>
        <v>126000</v>
      </c>
      <c r="H15" s="65">
        <f>H4*'Вводные'!$F$18</f>
        <v>135000</v>
      </c>
      <c r="I15" s="65">
        <f>I4*'Вводные'!$F$18</f>
        <v>144000</v>
      </c>
      <c r="J15" s="65">
        <f>J4*'Вводные'!$F$18</f>
        <v>153000</v>
      </c>
      <c r="K15" s="65">
        <f>K4*'Вводные'!$F$18</f>
        <v>162000</v>
      </c>
      <c r="L15" s="65">
        <f>L4*'Вводные'!$F$18</f>
        <v>171000</v>
      </c>
      <c r="M15" s="65">
        <f>M4*'Вводные'!$F$18</f>
        <v>180000</v>
      </c>
      <c r="N15" s="65">
        <f>N4*'Вводные'!$F$18</f>
        <v>180000</v>
      </c>
      <c r="O15" s="65">
        <f>O4*'Вводные'!$F$18</f>
        <v>180000</v>
      </c>
      <c r="P15" s="65">
        <f>P4*'Вводные'!$F$18</f>
        <v>180000</v>
      </c>
      <c r="Q15" s="65">
        <f>Q4*'Вводные'!$F$18</f>
        <v>180000</v>
      </c>
      <c r="R15" s="65">
        <f>R4*'Вводные'!$F$18</f>
        <v>180000</v>
      </c>
      <c r="S15" s="65">
        <f>S4*'Вводные'!$F$18</f>
        <v>180000</v>
      </c>
      <c r="T15" s="65">
        <f>T4*'Вводные'!$F$18</f>
        <v>180000</v>
      </c>
      <c r="U15" s="65">
        <f>U4*'Вводные'!$F$18</f>
        <v>180000</v>
      </c>
      <c r="V15" s="65">
        <f>V4*'Вводные'!$F$18</f>
        <v>180000</v>
      </c>
      <c r="W15" s="65">
        <f>W4*'Вводные'!$F$18</f>
        <v>180000</v>
      </c>
      <c r="X15" s="65">
        <f>X4*'Вводные'!$F$18</f>
        <v>180000</v>
      </c>
      <c r="Y15" s="65">
        <f>Y4*'Вводные'!$F$18</f>
        <v>180000</v>
      </c>
      <c r="Z15" s="65">
        <f>Z4*'Вводные'!$F$18</f>
        <v>180000</v>
      </c>
      <c r="AA15" s="65">
        <f>AA4*'Вводные'!$F$18</f>
        <v>180000</v>
      </c>
      <c r="AB15" s="65">
        <f>AB4*'Вводные'!$F$18</f>
        <v>180000</v>
      </c>
      <c r="AC15" s="65">
        <f>AC4*'Вводные'!$F$18</f>
        <v>180000</v>
      </c>
      <c r="AD15" s="65">
        <f>AD4*'Вводные'!$F$18</f>
        <v>180000</v>
      </c>
      <c r="AE15" s="65">
        <f>AE4*'Вводные'!$F$18</f>
        <v>180000</v>
      </c>
      <c r="AF15" s="65">
        <f>AF4*'Вводные'!$F$18</f>
        <v>180000</v>
      </c>
      <c r="AG15" s="65">
        <f>AG4*'Вводные'!$F$18</f>
        <v>180000</v>
      </c>
      <c r="AH15" s="65">
        <f>AH4*'Вводные'!$F$18</f>
        <v>180000</v>
      </c>
      <c r="AI15" s="65">
        <f>AI4*'Вводные'!$F$18</f>
        <v>180000</v>
      </c>
      <c r="AJ15" s="65">
        <f>AJ4*'Вводные'!$F$18</f>
        <v>180000</v>
      </c>
      <c r="AK15" s="65">
        <f>AK4*'Вводные'!$F$18</f>
        <v>180000</v>
      </c>
      <c r="AL15" s="65">
        <f>AL4*'Вводные'!$F$18</f>
        <v>180000</v>
      </c>
      <c r="AM15" s="66">
        <f t="shared" si="8"/>
        <v>1665000</v>
      </c>
      <c r="AN15" s="66">
        <f t="shared" si="9"/>
        <v>2160000</v>
      </c>
      <c r="AO15" s="66">
        <f t="shared" si="10"/>
        <v>2160000</v>
      </c>
      <c r="AP15" s="66">
        <f t="shared" si="11"/>
        <v>5985000</v>
      </c>
    </row>
    <row r="16" ht="4.5" customHeight="1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</row>
    <row r="17" ht="19.5" customHeight="1">
      <c r="A17" s="52"/>
      <c r="B17" s="70" t="s">
        <v>148</v>
      </c>
      <c r="C17" s="68">
        <f t="shared" ref="C17:AL17" si="12">C18+C19+C20+C21+C22+C23+C28+C29+C30</f>
        <v>891758</v>
      </c>
      <c r="D17" s="68">
        <f t="shared" si="12"/>
        <v>891758</v>
      </c>
      <c r="E17" s="68">
        <f t="shared" si="12"/>
        <v>891758</v>
      </c>
      <c r="F17" s="68">
        <f t="shared" si="12"/>
        <v>891758</v>
      </c>
      <c r="G17" s="68">
        <f t="shared" si="12"/>
        <v>891758</v>
      </c>
      <c r="H17" s="68">
        <f t="shared" si="12"/>
        <v>891758</v>
      </c>
      <c r="I17" s="68">
        <f t="shared" si="12"/>
        <v>891758</v>
      </c>
      <c r="J17" s="68">
        <f t="shared" si="12"/>
        <v>891758</v>
      </c>
      <c r="K17" s="68">
        <f t="shared" si="12"/>
        <v>891758</v>
      </c>
      <c r="L17" s="68">
        <f t="shared" si="12"/>
        <v>891758</v>
      </c>
      <c r="M17" s="68">
        <f t="shared" si="12"/>
        <v>891758</v>
      </c>
      <c r="N17" s="68">
        <f t="shared" si="12"/>
        <v>891758</v>
      </c>
      <c r="O17" s="68">
        <f t="shared" si="12"/>
        <v>891758</v>
      </c>
      <c r="P17" s="68">
        <f t="shared" si="12"/>
        <v>891758</v>
      </c>
      <c r="Q17" s="68">
        <f t="shared" si="12"/>
        <v>891758</v>
      </c>
      <c r="R17" s="68">
        <f t="shared" si="12"/>
        <v>891758</v>
      </c>
      <c r="S17" s="68">
        <f t="shared" si="12"/>
        <v>891758</v>
      </c>
      <c r="T17" s="68">
        <f t="shared" si="12"/>
        <v>891758</v>
      </c>
      <c r="U17" s="68">
        <f t="shared" si="12"/>
        <v>891758</v>
      </c>
      <c r="V17" s="68">
        <f t="shared" si="12"/>
        <v>891758</v>
      </c>
      <c r="W17" s="68">
        <f t="shared" si="12"/>
        <v>891758</v>
      </c>
      <c r="X17" s="68">
        <f t="shared" si="12"/>
        <v>891758</v>
      </c>
      <c r="Y17" s="68">
        <f t="shared" si="12"/>
        <v>891758</v>
      </c>
      <c r="Z17" s="68">
        <f t="shared" si="12"/>
        <v>891758</v>
      </c>
      <c r="AA17" s="68">
        <f t="shared" si="12"/>
        <v>891758</v>
      </c>
      <c r="AB17" s="68">
        <f t="shared" si="12"/>
        <v>891758</v>
      </c>
      <c r="AC17" s="68">
        <f t="shared" si="12"/>
        <v>891758</v>
      </c>
      <c r="AD17" s="68">
        <f t="shared" si="12"/>
        <v>891758</v>
      </c>
      <c r="AE17" s="68">
        <f t="shared" si="12"/>
        <v>891758</v>
      </c>
      <c r="AF17" s="68">
        <f t="shared" si="12"/>
        <v>891758</v>
      </c>
      <c r="AG17" s="68">
        <f t="shared" si="12"/>
        <v>891758</v>
      </c>
      <c r="AH17" s="68">
        <f t="shared" si="12"/>
        <v>891758</v>
      </c>
      <c r="AI17" s="68">
        <f t="shared" si="12"/>
        <v>891758</v>
      </c>
      <c r="AJ17" s="68">
        <f t="shared" si="12"/>
        <v>891758</v>
      </c>
      <c r="AK17" s="68">
        <f t="shared" si="12"/>
        <v>891758</v>
      </c>
      <c r="AL17" s="68">
        <f t="shared" si="12"/>
        <v>891758</v>
      </c>
      <c r="AM17" s="69">
        <f t="shared" ref="AM17:AM26" si="13">SUM(C17:N17)</f>
        <v>10701096</v>
      </c>
      <c r="AN17" s="69">
        <f t="shared" ref="AN17:AN26" si="14">SUM(O17:Z17)</f>
        <v>10701096</v>
      </c>
      <c r="AO17" s="69">
        <f t="shared" ref="AO17:AO26" si="15">SUM(AA17:AL17)</f>
        <v>10701096</v>
      </c>
      <c r="AP17" s="69">
        <f t="shared" ref="AP17:AP26" si="16">SUM(AM17:AO17)</f>
        <v>32103288</v>
      </c>
    </row>
    <row r="18" ht="16.5" customHeight="1">
      <c r="A18" s="52"/>
      <c r="B18" s="64" t="s">
        <v>149</v>
      </c>
      <c r="C18" s="65">
        <f>'Вводные'!$F28</f>
        <v>220000</v>
      </c>
      <c r="D18" s="65">
        <f>'Вводные'!$F28</f>
        <v>220000</v>
      </c>
      <c r="E18" s="65">
        <f>'Вводные'!$F28</f>
        <v>220000</v>
      </c>
      <c r="F18" s="65">
        <f>'Вводные'!$F28</f>
        <v>220000</v>
      </c>
      <c r="G18" s="65">
        <f>'Вводные'!$F28</f>
        <v>220000</v>
      </c>
      <c r="H18" s="65">
        <f>'Вводные'!$F28</f>
        <v>220000</v>
      </c>
      <c r="I18" s="65">
        <f>'Вводные'!$F28</f>
        <v>220000</v>
      </c>
      <c r="J18" s="65">
        <f>'Вводные'!$F28</f>
        <v>220000</v>
      </c>
      <c r="K18" s="65">
        <f>'Вводные'!$F28</f>
        <v>220000</v>
      </c>
      <c r="L18" s="65">
        <f>'Вводные'!$F28</f>
        <v>220000</v>
      </c>
      <c r="M18" s="65">
        <f>'Вводные'!$F28</f>
        <v>220000</v>
      </c>
      <c r="N18" s="65">
        <f>'Вводные'!$F28</f>
        <v>220000</v>
      </c>
      <c r="O18" s="65">
        <f>'Вводные'!$F28</f>
        <v>220000</v>
      </c>
      <c r="P18" s="65">
        <f>'Вводные'!$F28</f>
        <v>220000</v>
      </c>
      <c r="Q18" s="65">
        <f>'Вводные'!$F28</f>
        <v>220000</v>
      </c>
      <c r="R18" s="65">
        <f>'Вводные'!$F28</f>
        <v>220000</v>
      </c>
      <c r="S18" s="65">
        <f>'Вводные'!$F28</f>
        <v>220000</v>
      </c>
      <c r="T18" s="65">
        <f>'Вводные'!$F28</f>
        <v>220000</v>
      </c>
      <c r="U18" s="65">
        <f>'Вводные'!$F28</f>
        <v>220000</v>
      </c>
      <c r="V18" s="65">
        <f>'Вводные'!$F28</f>
        <v>220000</v>
      </c>
      <c r="W18" s="65">
        <f>'Вводные'!$F28</f>
        <v>220000</v>
      </c>
      <c r="X18" s="65">
        <f>'Вводные'!$F28</f>
        <v>220000</v>
      </c>
      <c r="Y18" s="65">
        <f>'Вводные'!$F28</f>
        <v>220000</v>
      </c>
      <c r="Z18" s="65">
        <f>'Вводные'!$F28</f>
        <v>220000</v>
      </c>
      <c r="AA18" s="65">
        <f>'Вводные'!$F28</f>
        <v>220000</v>
      </c>
      <c r="AB18" s="65">
        <f>'Вводные'!$F28</f>
        <v>220000</v>
      </c>
      <c r="AC18" s="65">
        <f>'Вводные'!$F28</f>
        <v>220000</v>
      </c>
      <c r="AD18" s="65">
        <f>'Вводные'!$F28</f>
        <v>220000</v>
      </c>
      <c r="AE18" s="65">
        <f>'Вводные'!$F28</f>
        <v>220000</v>
      </c>
      <c r="AF18" s="65">
        <f>'Вводные'!$F28</f>
        <v>220000</v>
      </c>
      <c r="AG18" s="65">
        <f>'Вводные'!$F28</f>
        <v>220000</v>
      </c>
      <c r="AH18" s="65">
        <f>'Вводные'!$F28</f>
        <v>220000</v>
      </c>
      <c r="AI18" s="65">
        <f>'Вводные'!$F28</f>
        <v>220000</v>
      </c>
      <c r="AJ18" s="65">
        <f>'Вводные'!$F28</f>
        <v>220000</v>
      </c>
      <c r="AK18" s="65">
        <f>'Вводные'!$F28</f>
        <v>220000</v>
      </c>
      <c r="AL18" s="65">
        <f>'Вводные'!$F28</f>
        <v>220000</v>
      </c>
      <c r="AM18" s="66">
        <f t="shared" si="13"/>
        <v>2640000</v>
      </c>
      <c r="AN18" s="66">
        <f t="shared" si="14"/>
        <v>2640000</v>
      </c>
      <c r="AO18" s="66">
        <f t="shared" si="15"/>
        <v>2640000</v>
      </c>
      <c r="AP18" s="66">
        <f t="shared" si="16"/>
        <v>7920000</v>
      </c>
    </row>
    <row r="19" ht="16.5" customHeight="1">
      <c r="A19" s="52"/>
      <c r="B19" s="64" t="s">
        <v>150</v>
      </c>
      <c r="C19" s="65">
        <f>'Вводные'!$F29</f>
        <v>50000</v>
      </c>
      <c r="D19" s="65">
        <f>'Вводные'!$F29</f>
        <v>50000</v>
      </c>
      <c r="E19" s="65">
        <f>'Вводные'!$F29</f>
        <v>50000</v>
      </c>
      <c r="F19" s="65">
        <f>'Вводные'!$F29</f>
        <v>50000</v>
      </c>
      <c r="G19" s="65">
        <f>'Вводные'!$F29</f>
        <v>50000</v>
      </c>
      <c r="H19" s="65">
        <f>'Вводные'!$F29</f>
        <v>50000</v>
      </c>
      <c r="I19" s="65">
        <f>'Вводные'!$F29</f>
        <v>50000</v>
      </c>
      <c r="J19" s="65">
        <f>'Вводные'!$F29</f>
        <v>50000</v>
      </c>
      <c r="K19" s="65">
        <f>'Вводные'!$F29</f>
        <v>50000</v>
      </c>
      <c r="L19" s="65">
        <f>'Вводные'!$F29</f>
        <v>50000</v>
      </c>
      <c r="M19" s="65">
        <f>'Вводные'!$F29</f>
        <v>50000</v>
      </c>
      <c r="N19" s="65">
        <f>'Вводные'!$F29</f>
        <v>50000</v>
      </c>
      <c r="O19" s="65">
        <f>'Вводные'!$F29</f>
        <v>50000</v>
      </c>
      <c r="P19" s="65">
        <f>'Вводные'!$F29</f>
        <v>50000</v>
      </c>
      <c r="Q19" s="65">
        <f>'Вводные'!$F29</f>
        <v>50000</v>
      </c>
      <c r="R19" s="65">
        <f>'Вводные'!$F29</f>
        <v>50000</v>
      </c>
      <c r="S19" s="65">
        <f>'Вводные'!$F29</f>
        <v>50000</v>
      </c>
      <c r="T19" s="65">
        <f>'Вводные'!$F29</f>
        <v>50000</v>
      </c>
      <c r="U19" s="65">
        <f>'Вводные'!$F29</f>
        <v>50000</v>
      </c>
      <c r="V19" s="65">
        <f>'Вводные'!$F29</f>
        <v>50000</v>
      </c>
      <c r="W19" s="65">
        <f>'Вводные'!$F29</f>
        <v>50000</v>
      </c>
      <c r="X19" s="65">
        <f>'Вводные'!$F29</f>
        <v>50000</v>
      </c>
      <c r="Y19" s="65">
        <f>'Вводные'!$F29</f>
        <v>50000</v>
      </c>
      <c r="Z19" s="65">
        <f>'Вводные'!$F29</f>
        <v>50000</v>
      </c>
      <c r="AA19" s="65">
        <f>'Вводные'!$F29</f>
        <v>50000</v>
      </c>
      <c r="AB19" s="65">
        <f>'Вводные'!$F29</f>
        <v>50000</v>
      </c>
      <c r="AC19" s="65">
        <f>'Вводные'!$F29</f>
        <v>50000</v>
      </c>
      <c r="AD19" s="65">
        <f>'Вводные'!$F29</f>
        <v>50000</v>
      </c>
      <c r="AE19" s="65">
        <f>'Вводные'!$F29</f>
        <v>50000</v>
      </c>
      <c r="AF19" s="65">
        <f>'Вводные'!$F29</f>
        <v>50000</v>
      </c>
      <c r="AG19" s="65">
        <f>'Вводные'!$F29</f>
        <v>50000</v>
      </c>
      <c r="AH19" s="65">
        <f>'Вводные'!$F29</f>
        <v>50000</v>
      </c>
      <c r="AI19" s="65">
        <f>'Вводные'!$F29</f>
        <v>50000</v>
      </c>
      <c r="AJ19" s="65">
        <f>'Вводные'!$F29</f>
        <v>50000</v>
      </c>
      <c r="AK19" s="65">
        <f>'Вводные'!$F29</f>
        <v>50000</v>
      </c>
      <c r="AL19" s="65">
        <f>'Вводные'!$F29</f>
        <v>50000</v>
      </c>
      <c r="AM19" s="66">
        <f t="shared" si="13"/>
        <v>600000</v>
      </c>
      <c r="AN19" s="66">
        <f t="shared" si="14"/>
        <v>600000</v>
      </c>
      <c r="AO19" s="66">
        <f t="shared" si="15"/>
        <v>600000</v>
      </c>
      <c r="AP19" s="66">
        <f t="shared" si="16"/>
        <v>1800000</v>
      </c>
    </row>
    <row r="20" ht="16.5" customHeight="1">
      <c r="A20" s="52"/>
      <c r="B20" s="64" t="s">
        <v>151</v>
      </c>
      <c r="C20" s="65">
        <f>'Вводные'!$F30</f>
        <v>6658</v>
      </c>
      <c r="D20" s="65">
        <f>'Вводные'!$F30</f>
        <v>6658</v>
      </c>
      <c r="E20" s="65">
        <f>'Вводные'!$F30</f>
        <v>6658</v>
      </c>
      <c r="F20" s="65">
        <f>'Вводные'!$F30</f>
        <v>6658</v>
      </c>
      <c r="G20" s="65">
        <f>'Вводные'!$F30</f>
        <v>6658</v>
      </c>
      <c r="H20" s="65">
        <f>'Вводные'!$F30</f>
        <v>6658</v>
      </c>
      <c r="I20" s="65">
        <f>'Вводные'!$F30</f>
        <v>6658</v>
      </c>
      <c r="J20" s="65">
        <f>'Вводные'!$F30</f>
        <v>6658</v>
      </c>
      <c r="K20" s="65">
        <f>'Вводные'!$F30</f>
        <v>6658</v>
      </c>
      <c r="L20" s="65">
        <f>'Вводные'!$F30</f>
        <v>6658</v>
      </c>
      <c r="M20" s="65">
        <f>'Вводные'!$F30</f>
        <v>6658</v>
      </c>
      <c r="N20" s="65">
        <f>'Вводные'!$F30</f>
        <v>6658</v>
      </c>
      <c r="O20" s="65">
        <f>'Вводные'!$F30</f>
        <v>6658</v>
      </c>
      <c r="P20" s="65">
        <f>'Вводные'!$F30</f>
        <v>6658</v>
      </c>
      <c r="Q20" s="65">
        <f>'Вводные'!$F30</f>
        <v>6658</v>
      </c>
      <c r="R20" s="65">
        <f>'Вводные'!$F30</f>
        <v>6658</v>
      </c>
      <c r="S20" s="65">
        <f>'Вводные'!$F30</f>
        <v>6658</v>
      </c>
      <c r="T20" s="65">
        <f>'Вводные'!$F30</f>
        <v>6658</v>
      </c>
      <c r="U20" s="65">
        <f>'Вводные'!$F30</f>
        <v>6658</v>
      </c>
      <c r="V20" s="65">
        <f>'Вводные'!$F30</f>
        <v>6658</v>
      </c>
      <c r="W20" s="65">
        <f>'Вводные'!$F30</f>
        <v>6658</v>
      </c>
      <c r="X20" s="65">
        <f>'Вводные'!$F30</f>
        <v>6658</v>
      </c>
      <c r="Y20" s="65">
        <f>'Вводные'!$F30</f>
        <v>6658</v>
      </c>
      <c r="Z20" s="65">
        <f>'Вводные'!$F30</f>
        <v>6658</v>
      </c>
      <c r="AA20" s="65">
        <f>'Вводные'!$F30</f>
        <v>6658</v>
      </c>
      <c r="AB20" s="65">
        <f>'Вводные'!$F30</f>
        <v>6658</v>
      </c>
      <c r="AC20" s="65">
        <f>'Вводные'!$F30</f>
        <v>6658</v>
      </c>
      <c r="AD20" s="65">
        <f>'Вводные'!$F30</f>
        <v>6658</v>
      </c>
      <c r="AE20" s="65">
        <f>'Вводные'!$F30</f>
        <v>6658</v>
      </c>
      <c r="AF20" s="65">
        <f>'Вводные'!$F30</f>
        <v>6658</v>
      </c>
      <c r="AG20" s="65">
        <f>'Вводные'!$F30</f>
        <v>6658</v>
      </c>
      <c r="AH20" s="65">
        <f>'Вводные'!$F30</f>
        <v>6658</v>
      </c>
      <c r="AI20" s="65">
        <f>'Вводные'!$F30</f>
        <v>6658</v>
      </c>
      <c r="AJ20" s="65">
        <f>'Вводные'!$F30</f>
        <v>6658</v>
      </c>
      <c r="AK20" s="65">
        <f>'Вводные'!$F30</f>
        <v>6658</v>
      </c>
      <c r="AL20" s="65">
        <f>'Вводные'!$F30</f>
        <v>6658</v>
      </c>
      <c r="AM20" s="66">
        <f t="shared" si="13"/>
        <v>79896</v>
      </c>
      <c r="AN20" s="66">
        <f t="shared" si="14"/>
        <v>79896</v>
      </c>
      <c r="AO20" s="66">
        <f t="shared" si="15"/>
        <v>79896</v>
      </c>
      <c r="AP20" s="66">
        <f t="shared" si="16"/>
        <v>239688</v>
      </c>
    </row>
    <row r="21" ht="16.5" customHeight="1">
      <c r="A21" s="52"/>
      <c r="B21" s="64" t="s">
        <v>152</v>
      </c>
      <c r="C21" s="65">
        <f>'Вводные'!$F31</f>
        <v>3500</v>
      </c>
      <c r="D21" s="65">
        <f>'Вводные'!$F31</f>
        <v>3500</v>
      </c>
      <c r="E21" s="65">
        <f>'Вводные'!$F31</f>
        <v>3500</v>
      </c>
      <c r="F21" s="65">
        <f>'Вводные'!$F31</f>
        <v>3500</v>
      </c>
      <c r="G21" s="65">
        <f>'Вводные'!$F31</f>
        <v>3500</v>
      </c>
      <c r="H21" s="65">
        <f>'Вводные'!$F31</f>
        <v>3500</v>
      </c>
      <c r="I21" s="65">
        <f>'Вводные'!$F31</f>
        <v>3500</v>
      </c>
      <c r="J21" s="65">
        <f>'Вводные'!$F31</f>
        <v>3500</v>
      </c>
      <c r="K21" s="65">
        <f>'Вводные'!$F31</f>
        <v>3500</v>
      </c>
      <c r="L21" s="65">
        <f>'Вводные'!$F31</f>
        <v>3500</v>
      </c>
      <c r="M21" s="65">
        <f>'Вводные'!$F31</f>
        <v>3500</v>
      </c>
      <c r="N21" s="65">
        <f>'Вводные'!$F31</f>
        <v>3500</v>
      </c>
      <c r="O21" s="65">
        <f>'Вводные'!$F31</f>
        <v>3500</v>
      </c>
      <c r="P21" s="65">
        <f>'Вводные'!$F31</f>
        <v>3500</v>
      </c>
      <c r="Q21" s="65">
        <f>'Вводные'!$F31</f>
        <v>3500</v>
      </c>
      <c r="R21" s="65">
        <f>'Вводные'!$F31</f>
        <v>3500</v>
      </c>
      <c r="S21" s="65">
        <f>'Вводные'!$F31</f>
        <v>3500</v>
      </c>
      <c r="T21" s="65">
        <f>'Вводные'!$F31</f>
        <v>3500</v>
      </c>
      <c r="U21" s="65">
        <f>'Вводные'!$F31</f>
        <v>3500</v>
      </c>
      <c r="V21" s="65">
        <f>'Вводные'!$F31</f>
        <v>3500</v>
      </c>
      <c r="W21" s="65">
        <f>'Вводные'!$F31</f>
        <v>3500</v>
      </c>
      <c r="X21" s="65">
        <f>'Вводные'!$F31</f>
        <v>3500</v>
      </c>
      <c r="Y21" s="65">
        <f>'Вводные'!$F31</f>
        <v>3500</v>
      </c>
      <c r="Z21" s="65">
        <f>'Вводные'!$F31</f>
        <v>3500</v>
      </c>
      <c r="AA21" s="65">
        <f>'Вводные'!$F31</f>
        <v>3500</v>
      </c>
      <c r="AB21" s="65">
        <f>'Вводные'!$F31</f>
        <v>3500</v>
      </c>
      <c r="AC21" s="65">
        <f>'Вводные'!$F31</f>
        <v>3500</v>
      </c>
      <c r="AD21" s="65">
        <f>'Вводные'!$F31</f>
        <v>3500</v>
      </c>
      <c r="AE21" s="65">
        <f>'Вводные'!$F31</f>
        <v>3500</v>
      </c>
      <c r="AF21" s="65">
        <f>'Вводные'!$F31</f>
        <v>3500</v>
      </c>
      <c r="AG21" s="65">
        <f>'Вводные'!$F31</f>
        <v>3500</v>
      </c>
      <c r="AH21" s="65">
        <f>'Вводные'!$F31</f>
        <v>3500</v>
      </c>
      <c r="AI21" s="65">
        <f>'Вводные'!$F31</f>
        <v>3500</v>
      </c>
      <c r="AJ21" s="65">
        <f>'Вводные'!$F31</f>
        <v>3500</v>
      </c>
      <c r="AK21" s="65">
        <f>'Вводные'!$F31</f>
        <v>3500</v>
      </c>
      <c r="AL21" s="65">
        <f>'Вводные'!$F31</f>
        <v>3500</v>
      </c>
      <c r="AM21" s="66">
        <f t="shared" si="13"/>
        <v>42000</v>
      </c>
      <c r="AN21" s="66">
        <f t="shared" si="14"/>
        <v>42000</v>
      </c>
      <c r="AO21" s="66">
        <f t="shared" si="15"/>
        <v>42000</v>
      </c>
      <c r="AP21" s="66">
        <f t="shared" si="16"/>
        <v>126000</v>
      </c>
    </row>
    <row r="22" ht="16.5" customHeight="1">
      <c r="A22" s="52"/>
      <c r="B22" s="64" t="s">
        <v>153</v>
      </c>
      <c r="C22" s="65">
        <f>'Вводные'!$F32</f>
        <v>2000</v>
      </c>
      <c r="D22" s="65">
        <f>'Вводные'!$F32</f>
        <v>2000</v>
      </c>
      <c r="E22" s="65">
        <f>'Вводные'!$F32</f>
        <v>2000</v>
      </c>
      <c r="F22" s="65">
        <f>'Вводные'!$F32</f>
        <v>2000</v>
      </c>
      <c r="G22" s="65">
        <f>'Вводные'!$F32</f>
        <v>2000</v>
      </c>
      <c r="H22" s="65">
        <f>'Вводные'!$F32</f>
        <v>2000</v>
      </c>
      <c r="I22" s="65">
        <f>'Вводные'!$F32</f>
        <v>2000</v>
      </c>
      <c r="J22" s="65">
        <f>'Вводные'!$F32</f>
        <v>2000</v>
      </c>
      <c r="K22" s="65">
        <f>'Вводные'!$F32</f>
        <v>2000</v>
      </c>
      <c r="L22" s="65">
        <f>'Вводные'!$F32</f>
        <v>2000</v>
      </c>
      <c r="M22" s="65">
        <f>'Вводные'!$F32</f>
        <v>2000</v>
      </c>
      <c r="N22" s="65">
        <f>'Вводные'!$F32</f>
        <v>2000</v>
      </c>
      <c r="O22" s="65">
        <f>'Вводные'!$F32</f>
        <v>2000</v>
      </c>
      <c r="P22" s="65">
        <f>'Вводные'!$F32</f>
        <v>2000</v>
      </c>
      <c r="Q22" s="65">
        <f>'Вводные'!$F32</f>
        <v>2000</v>
      </c>
      <c r="R22" s="65">
        <f>'Вводные'!$F32</f>
        <v>2000</v>
      </c>
      <c r="S22" s="65">
        <f>'Вводные'!$F32</f>
        <v>2000</v>
      </c>
      <c r="T22" s="65">
        <f>'Вводные'!$F32</f>
        <v>2000</v>
      </c>
      <c r="U22" s="65">
        <f>'Вводные'!$F32</f>
        <v>2000</v>
      </c>
      <c r="V22" s="65">
        <f>'Вводные'!$F32</f>
        <v>2000</v>
      </c>
      <c r="W22" s="65">
        <f>'Вводные'!$F32</f>
        <v>2000</v>
      </c>
      <c r="X22" s="65">
        <f>'Вводные'!$F32</f>
        <v>2000</v>
      </c>
      <c r="Y22" s="65">
        <f>'Вводные'!$F32</f>
        <v>2000</v>
      </c>
      <c r="Z22" s="65">
        <f>'Вводные'!$F32</f>
        <v>2000</v>
      </c>
      <c r="AA22" s="65">
        <f>'Вводные'!$F32</f>
        <v>2000</v>
      </c>
      <c r="AB22" s="65">
        <f>'Вводные'!$F32</f>
        <v>2000</v>
      </c>
      <c r="AC22" s="65">
        <f>'Вводные'!$F32</f>
        <v>2000</v>
      </c>
      <c r="AD22" s="65">
        <f>'Вводные'!$F32</f>
        <v>2000</v>
      </c>
      <c r="AE22" s="65">
        <f>'Вводные'!$F32</f>
        <v>2000</v>
      </c>
      <c r="AF22" s="65">
        <f>'Вводные'!$F32</f>
        <v>2000</v>
      </c>
      <c r="AG22" s="65">
        <f>'Вводные'!$F32</f>
        <v>2000</v>
      </c>
      <c r="AH22" s="65">
        <f>'Вводные'!$F32</f>
        <v>2000</v>
      </c>
      <c r="AI22" s="65">
        <f>'Вводные'!$F32</f>
        <v>2000</v>
      </c>
      <c r="AJ22" s="65">
        <f>'Вводные'!$F32</f>
        <v>2000</v>
      </c>
      <c r="AK22" s="65">
        <f>'Вводные'!$F32</f>
        <v>2000</v>
      </c>
      <c r="AL22" s="65">
        <f>'Вводные'!$F32</f>
        <v>2000</v>
      </c>
      <c r="AM22" s="66">
        <f t="shared" si="13"/>
        <v>24000</v>
      </c>
      <c r="AN22" s="66">
        <f t="shared" si="14"/>
        <v>24000</v>
      </c>
      <c r="AO22" s="66">
        <f t="shared" si="15"/>
        <v>24000</v>
      </c>
      <c r="AP22" s="66">
        <f t="shared" si="16"/>
        <v>72000</v>
      </c>
    </row>
    <row r="23" ht="16.5" customHeight="1">
      <c r="A23" s="52"/>
      <c r="B23" s="64" t="s">
        <v>154</v>
      </c>
      <c r="C23" s="65">
        <f>'Вводные'!$F33</f>
        <v>440000</v>
      </c>
      <c r="D23" s="65">
        <f>'Вводные'!$F33</f>
        <v>440000</v>
      </c>
      <c r="E23" s="65">
        <f>'Вводные'!$F33</f>
        <v>440000</v>
      </c>
      <c r="F23" s="65">
        <f>'Вводные'!$F33</f>
        <v>440000</v>
      </c>
      <c r="G23" s="65">
        <f>'Вводные'!$F33</f>
        <v>440000</v>
      </c>
      <c r="H23" s="65">
        <f>'Вводные'!$F33</f>
        <v>440000</v>
      </c>
      <c r="I23" s="65">
        <f>'Вводные'!$F33</f>
        <v>440000</v>
      </c>
      <c r="J23" s="65">
        <f>'Вводные'!$F33</f>
        <v>440000</v>
      </c>
      <c r="K23" s="65">
        <f>'Вводные'!$F33</f>
        <v>440000</v>
      </c>
      <c r="L23" s="65">
        <f>'Вводные'!$F33</f>
        <v>440000</v>
      </c>
      <c r="M23" s="65">
        <f>'Вводные'!$F33</f>
        <v>440000</v>
      </c>
      <c r="N23" s="65">
        <f>'Вводные'!$F33</f>
        <v>440000</v>
      </c>
      <c r="O23" s="65">
        <f>'Вводные'!$F33</f>
        <v>440000</v>
      </c>
      <c r="P23" s="65">
        <f>'Вводные'!$F33</f>
        <v>440000</v>
      </c>
      <c r="Q23" s="65">
        <f>'Вводные'!$F33</f>
        <v>440000</v>
      </c>
      <c r="R23" s="65">
        <f>'Вводные'!$F33</f>
        <v>440000</v>
      </c>
      <c r="S23" s="65">
        <f>'Вводные'!$F33</f>
        <v>440000</v>
      </c>
      <c r="T23" s="65">
        <f>'Вводные'!$F33</f>
        <v>440000</v>
      </c>
      <c r="U23" s="65">
        <f>'Вводные'!$F33</f>
        <v>440000</v>
      </c>
      <c r="V23" s="65">
        <f>'Вводные'!$F33</f>
        <v>440000</v>
      </c>
      <c r="W23" s="65">
        <f>'Вводные'!$F33</f>
        <v>440000</v>
      </c>
      <c r="X23" s="65">
        <f>'Вводные'!$F33</f>
        <v>440000</v>
      </c>
      <c r="Y23" s="65">
        <f>'Вводные'!$F33</f>
        <v>440000</v>
      </c>
      <c r="Z23" s="65">
        <f>'Вводные'!$F33</f>
        <v>440000</v>
      </c>
      <c r="AA23" s="65">
        <f>'Вводные'!$F33</f>
        <v>440000</v>
      </c>
      <c r="AB23" s="65">
        <f>'Вводные'!$F33</f>
        <v>440000</v>
      </c>
      <c r="AC23" s="65">
        <f>'Вводные'!$F33</f>
        <v>440000</v>
      </c>
      <c r="AD23" s="65">
        <f>'Вводные'!$F33</f>
        <v>440000</v>
      </c>
      <c r="AE23" s="65">
        <f>'Вводные'!$F33</f>
        <v>440000</v>
      </c>
      <c r="AF23" s="65">
        <f>'Вводные'!$F33</f>
        <v>440000</v>
      </c>
      <c r="AG23" s="65">
        <f>'Вводные'!$F33</f>
        <v>440000</v>
      </c>
      <c r="AH23" s="65">
        <f>'Вводные'!$F33</f>
        <v>440000</v>
      </c>
      <c r="AI23" s="65">
        <f>'Вводные'!$F33</f>
        <v>440000</v>
      </c>
      <c r="AJ23" s="65">
        <f>'Вводные'!$F33</f>
        <v>440000</v>
      </c>
      <c r="AK23" s="65">
        <f>'Вводные'!$F33</f>
        <v>440000</v>
      </c>
      <c r="AL23" s="65">
        <f>'Вводные'!$F33</f>
        <v>440000</v>
      </c>
      <c r="AM23" s="66">
        <f t="shared" si="13"/>
        <v>5280000</v>
      </c>
      <c r="AN23" s="66">
        <f t="shared" si="14"/>
        <v>5280000</v>
      </c>
      <c r="AO23" s="66">
        <f t="shared" si="15"/>
        <v>5280000</v>
      </c>
      <c r="AP23" s="66">
        <f t="shared" si="16"/>
        <v>15840000</v>
      </c>
    </row>
    <row r="24" ht="16.5" customHeight="1">
      <c r="A24" s="52"/>
      <c r="B24" s="64" t="s">
        <v>155</v>
      </c>
      <c r="C24" s="65">
        <f>'Вводные'!$F34</f>
        <v>160000</v>
      </c>
      <c r="D24" s="65">
        <f>'Вводные'!$F34</f>
        <v>160000</v>
      </c>
      <c r="E24" s="65">
        <f>'Вводные'!$F34</f>
        <v>160000</v>
      </c>
      <c r="F24" s="65">
        <f>'Вводные'!$F34</f>
        <v>160000</v>
      </c>
      <c r="G24" s="65">
        <f>'Вводные'!$F34</f>
        <v>160000</v>
      </c>
      <c r="H24" s="65">
        <f>'Вводные'!$F34</f>
        <v>160000</v>
      </c>
      <c r="I24" s="65">
        <f>'Вводные'!$F34</f>
        <v>160000</v>
      </c>
      <c r="J24" s="65">
        <f>'Вводные'!$F34</f>
        <v>160000</v>
      </c>
      <c r="K24" s="65">
        <f>'Вводные'!$F34</f>
        <v>160000</v>
      </c>
      <c r="L24" s="65">
        <f>'Вводные'!$F34</f>
        <v>160000</v>
      </c>
      <c r="M24" s="65">
        <f>'Вводные'!$F34</f>
        <v>160000</v>
      </c>
      <c r="N24" s="65">
        <f>'Вводные'!$F34</f>
        <v>160000</v>
      </c>
      <c r="O24" s="65">
        <f>'Вводные'!$F34</f>
        <v>160000</v>
      </c>
      <c r="P24" s="65">
        <f>'Вводные'!$F34</f>
        <v>160000</v>
      </c>
      <c r="Q24" s="65">
        <f>'Вводные'!$F34</f>
        <v>160000</v>
      </c>
      <c r="R24" s="65">
        <f>'Вводные'!$F34</f>
        <v>160000</v>
      </c>
      <c r="S24" s="65">
        <f>'Вводные'!$F34</f>
        <v>160000</v>
      </c>
      <c r="T24" s="65">
        <f>'Вводные'!$F34</f>
        <v>160000</v>
      </c>
      <c r="U24" s="65">
        <f>'Вводные'!$F34</f>
        <v>160000</v>
      </c>
      <c r="V24" s="65">
        <f>'Вводные'!$F34</f>
        <v>160000</v>
      </c>
      <c r="W24" s="65">
        <f>'Вводные'!$F34</f>
        <v>160000</v>
      </c>
      <c r="X24" s="65">
        <f>'Вводные'!$F34</f>
        <v>160000</v>
      </c>
      <c r="Y24" s="65">
        <f>'Вводные'!$F34</f>
        <v>160000</v>
      </c>
      <c r="Z24" s="65">
        <f>'Вводные'!$F34</f>
        <v>160000</v>
      </c>
      <c r="AA24" s="65">
        <f>'Вводные'!$F34</f>
        <v>160000</v>
      </c>
      <c r="AB24" s="65">
        <f>'Вводные'!$F34</f>
        <v>160000</v>
      </c>
      <c r="AC24" s="65">
        <f>'Вводные'!$F34</f>
        <v>160000</v>
      </c>
      <c r="AD24" s="65">
        <f>'Вводные'!$F34</f>
        <v>160000</v>
      </c>
      <c r="AE24" s="65">
        <f>'Вводные'!$F34</f>
        <v>160000</v>
      </c>
      <c r="AF24" s="65">
        <f>'Вводные'!$F34</f>
        <v>160000</v>
      </c>
      <c r="AG24" s="65">
        <f>'Вводные'!$F34</f>
        <v>160000</v>
      </c>
      <c r="AH24" s="65">
        <f>'Вводные'!$F34</f>
        <v>160000</v>
      </c>
      <c r="AI24" s="65">
        <f>'Вводные'!$F34</f>
        <v>160000</v>
      </c>
      <c r="AJ24" s="65">
        <f>'Вводные'!$F34</f>
        <v>160000</v>
      </c>
      <c r="AK24" s="65">
        <f>'Вводные'!$F34</f>
        <v>160000</v>
      </c>
      <c r="AL24" s="65">
        <f>'Вводные'!$F34</f>
        <v>160000</v>
      </c>
      <c r="AM24" s="66">
        <f t="shared" si="13"/>
        <v>1920000</v>
      </c>
      <c r="AN24" s="66">
        <f t="shared" si="14"/>
        <v>1920000</v>
      </c>
      <c r="AO24" s="66">
        <f t="shared" si="15"/>
        <v>1920000</v>
      </c>
      <c r="AP24" s="66">
        <f t="shared" si="16"/>
        <v>5760000</v>
      </c>
    </row>
    <row r="25" ht="16.5" customHeight="1">
      <c r="A25" s="52"/>
      <c r="B25" s="64" t="s">
        <v>156</v>
      </c>
      <c r="C25" s="65">
        <f>'Вводные'!$F35</f>
        <v>240000</v>
      </c>
      <c r="D25" s="65">
        <f>'Вводные'!$F35</f>
        <v>240000</v>
      </c>
      <c r="E25" s="65">
        <f>'Вводные'!$F35</f>
        <v>240000</v>
      </c>
      <c r="F25" s="65">
        <f>'Вводные'!$F35</f>
        <v>240000</v>
      </c>
      <c r="G25" s="65">
        <f>'Вводные'!$F35</f>
        <v>240000</v>
      </c>
      <c r="H25" s="65">
        <f>'Вводные'!$F35</f>
        <v>240000</v>
      </c>
      <c r="I25" s="65">
        <f>'Вводные'!$F35</f>
        <v>240000</v>
      </c>
      <c r="J25" s="65">
        <f>'Вводные'!$F35</f>
        <v>240000</v>
      </c>
      <c r="K25" s="65">
        <f>'Вводные'!$F35</f>
        <v>240000</v>
      </c>
      <c r="L25" s="65">
        <f>'Вводные'!$F35</f>
        <v>240000</v>
      </c>
      <c r="M25" s="65">
        <f>'Вводные'!$F35</f>
        <v>240000</v>
      </c>
      <c r="N25" s="65">
        <f>'Вводные'!$F35</f>
        <v>240000</v>
      </c>
      <c r="O25" s="65">
        <f>'Вводные'!$F35</f>
        <v>240000</v>
      </c>
      <c r="P25" s="65">
        <f>'Вводные'!$F35</f>
        <v>240000</v>
      </c>
      <c r="Q25" s="65">
        <f>'Вводные'!$F35</f>
        <v>240000</v>
      </c>
      <c r="R25" s="65">
        <f>'Вводные'!$F35</f>
        <v>240000</v>
      </c>
      <c r="S25" s="65">
        <f>'Вводные'!$F35</f>
        <v>240000</v>
      </c>
      <c r="T25" s="65">
        <f>'Вводные'!$F35</f>
        <v>240000</v>
      </c>
      <c r="U25" s="65">
        <f>'Вводные'!$F35</f>
        <v>240000</v>
      </c>
      <c r="V25" s="65">
        <f>'Вводные'!$F35</f>
        <v>240000</v>
      </c>
      <c r="W25" s="65">
        <f>'Вводные'!$F35</f>
        <v>240000</v>
      </c>
      <c r="X25" s="65">
        <f>'Вводные'!$F35</f>
        <v>240000</v>
      </c>
      <c r="Y25" s="65">
        <f>'Вводные'!$F35</f>
        <v>240000</v>
      </c>
      <c r="Z25" s="65">
        <f>'Вводные'!$F35</f>
        <v>240000</v>
      </c>
      <c r="AA25" s="65">
        <f>'Вводные'!$F35</f>
        <v>240000</v>
      </c>
      <c r="AB25" s="65">
        <f>'Вводные'!$F35</f>
        <v>240000</v>
      </c>
      <c r="AC25" s="65">
        <f>'Вводные'!$F35</f>
        <v>240000</v>
      </c>
      <c r="AD25" s="65">
        <f>'Вводные'!$F35</f>
        <v>240000</v>
      </c>
      <c r="AE25" s="65">
        <f>'Вводные'!$F35</f>
        <v>240000</v>
      </c>
      <c r="AF25" s="65">
        <f>'Вводные'!$F35</f>
        <v>240000</v>
      </c>
      <c r="AG25" s="65">
        <f>'Вводные'!$F35</f>
        <v>240000</v>
      </c>
      <c r="AH25" s="65">
        <f>'Вводные'!$F35</f>
        <v>240000</v>
      </c>
      <c r="AI25" s="65">
        <f>'Вводные'!$F35</f>
        <v>240000</v>
      </c>
      <c r="AJ25" s="65">
        <f>'Вводные'!$F35</f>
        <v>240000</v>
      </c>
      <c r="AK25" s="65">
        <f>'Вводные'!$F35</f>
        <v>240000</v>
      </c>
      <c r="AL25" s="65">
        <f>'Вводные'!$F35</f>
        <v>240000</v>
      </c>
      <c r="AM25" s="66">
        <f t="shared" si="13"/>
        <v>2880000</v>
      </c>
      <c r="AN25" s="66">
        <f t="shared" si="14"/>
        <v>2880000</v>
      </c>
      <c r="AO25" s="66">
        <f t="shared" si="15"/>
        <v>2880000</v>
      </c>
      <c r="AP25" s="66">
        <f t="shared" si="16"/>
        <v>8640000</v>
      </c>
    </row>
    <row r="26" ht="16.5" customHeight="1">
      <c r="A26" s="52"/>
      <c r="B26" s="64" t="s">
        <v>157</v>
      </c>
      <c r="C26" s="65">
        <f>'Вводные'!$F36</f>
        <v>40000</v>
      </c>
      <c r="D26" s="65">
        <f>'Вводные'!$F36</f>
        <v>40000</v>
      </c>
      <c r="E26" s="65">
        <f>'Вводные'!$F36</f>
        <v>40000</v>
      </c>
      <c r="F26" s="65">
        <f>'Вводные'!$F36</f>
        <v>40000</v>
      </c>
      <c r="G26" s="65">
        <f>'Вводные'!$F36</f>
        <v>40000</v>
      </c>
      <c r="H26" s="65">
        <f>'Вводные'!$F36</f>
        <v>40000</v>
      </c>
      <c r="I26" s="65">
        <f>'Вводные'!$F36</f>
        <v>40000</v>
      </c>
      <c r="J26" s="65">
        <f>'Вводные'!$F36</f>
        <v>40000</v>
      </c>
      <c r="K26" s="65">
        <f>'Вводные'!$F36</f>
        <v>40000</v>
      </c>
      <c r="L26" s="65">
        <f>'Вводные'!$F36</f>
        <v>40000</v>
      </c>
      <c r="M26" s="65">
        <f>'Вводные'!$F36</f>
        <v>40000</v>
      </c>
      <c r="N26" s="65">
        <f>'Вводные'!$F36</f>
        <v>40000</v>
      </c>
      <c r="O26" s="65">
        <f>'Вводные'!$F36</f>
        <v>40000</v>
      </c>
      <c r="P26" s="65">
        <f>'Вводные'!$F36</f>
        <v>40000</v>
      </c>
      <c r="Q26" s="65">
        <f>'Вводные'!$F36</f>
        <v>40000</v>
      </c>
      <c r="R26" s="65">
        <f>'Вводные'!$F36</f>
        <v>40000</v>
      </c>
      <c r="S26" s="65">
        <f>'Вводные'!$F36</f>
        <v>40000</v>
      </c>
      <c r="T26" s="65">
        <f>'Вводные'!$F36</f>
        <v>40000</v>
      </c>
      <c r="U26" s="65">
        <f>'Вводные'!$F36</f>
        <v>40000</v>
      </c>
      <c r="V26" s="65">
        <f>'Вводные'!$F36</f>
        <v>40000</v>
      </c>
      <c r="W26" s="65">
        <f>'Вводные'!$F36</f>
        <v>40000</v>
      </c>
      <c r="X26" s="65">
        <f>'Вводные'!$F36</f>
        <v>40000</v>
      </c>
      <c r="Y26" s="65">
        <f>'Вводные'!$F36</f>
        <v>40000</v>
      </c>
      <c r="Z26" s="65">
        <f>'Вводные'!$F36</f>
        <v>40000</v>
      </c>
      <c r="AA26" s="65">
        <f>'Вводные'!$F36</f>
        <v>40000</v>
      </c>
      <c r="AB26" s="65">
        <f>'Вводные'!$F36</f>
        <v>40000</v>
      </c>
      <c r="AC26" s="65">
        <f>'Вводные'!$F36</f>
        <v>40000</v>
      </c>
      <c r="AD26" s="65">
        <f>'Вводные'!$F36</f>
        <v>40000</v>
      </c>
      <c r="AE26" s="65">
        <f>'Вводные'!$F36</f>
        <v>40000</v>
      </c>
      <c r="AF26" s="65">
        <f>'Вводные'!$F36</f>
        <v>40000</v>
      </c>
      <c r="AG26" s="65">
        <f>'Вводные'!$F36</f>
        <v>40000</v>
      </c>
      <c r="AH26" s="65">
        <f>'Вводные'!$F36</f>
        <v>40000</v>
      </c>
      <c r="AI26" s="65">
        <f>'Вводные'!$F36</f>
        <v>40000</v>
      </c>
      <c r="AJ26" s="65">
        <f>'Вводные'!$F36</f>
        <v>40000</v>
      </c>
      <c r="AK26" s="65">
        <f>'Вводные'!$F36</f>
        <v>40000</v>
      </c>
      <c r="AL26" s="65">
        <f>'Вводные'!$F36</f>
        <v>40000</v>
      </c>
      <c r="AM26" s="66">
        <f t="shared" si="13"/>
        <v>480000</v>
      </c>
      <c r="AN26" s="66">
        <f t="shared" si="14"/>
        <v>480000</v>
      </c>
      <c r="AO26" s="66">
        <f t="shared" si="15"/>
        <v>480000</v>
      </c>
      <c r="AP26" s="66">
        <f t="shared" si="16"/>
        <v>1440000</v>
      </c>
    </row>
    <row r="27" ht="4.5" customHeight="1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</row>
    <row r="28" ht="16.5" customHeight="1">
      <c r="A28" s="52"/>
      <c r="B28" s="64" t="s">
        <v>158</v>
      </c>
      <c r="C28" s="65">
        <f>'Вводные'!$F37</f>
        <v>149600</v>
      </c>
      <c r="D28" s="65">
        <f>'Вводные'!$F37</f>
        <v>149600</v>
      </c>
      <c r="E28" s="65">
        <f>'Вводные'!$F37</f>
        <v>149600</v>
      </c>
      <c r="F28" s="65">
        <f>'Вводные'!$F37</f>
        <v>149600</v>
      </c>
      <c r="G28" s="65">
        <f>'Вводные'!$F37</f>
        <v>149600</v>
      </c>
      <c r="H28" s="65">
        <f>'Вводные'!$F37</f>
        <v>149600</v>
      </c>
      <c r="I28" s="65">
        <f>'Вводные'!$F37</f>
        <v>149600</v>
      </c>
      <c r="J28" s="65">
        <f>'Вводные'!$F37</f>
        <v>149600</v>
      </c>
      <c r="K28" s="65">
        <f>'Вводные'!$F37</f>
        <v>149600</v>
      </c>
      <c r="L28" s="65">
        <f>'Вводные'!$F37</f>
        <v>149600</v>
      </c>
      <c r="M28" s="65">
        <f>'Вводные'!$F37</f>
        <v>149600</v>
      </c>
      <c r="N28" s="65">
        <f>'Вводные'!$F37</f>
        <v>149600</v>
      </c>
      <c r="O28" s="65">
        <f>'Вводные'!$F37</f>
        <v>149600</v>
      </c>
      <c r="P28" s="65">
        <f>'Вводные'!$F37</f>
        <v>149600</v>
      </c>
      <c r="Q28" s="65">
        <f>'Вводные'!$F37</f>
        <v>149600</v>
      </c>
      <c r="R28" s="65">
        <f>'Вводные'!$F37</f>
        <v>149600</v>
      </c>
      <c r="S28" s="65">
        <f>'Вводные'!$F37</f>
        <v>149600</v>
      </c>
      <c r="T28" s="65">
        <f>'Вводные'!$F37</f>
        <v>149600</v>
      </c>
      <c r="U28" s="65">
        <f>'Вводные'!$F37</f>
        <v>149600</v>
      </c>
      <c r="V28" s="65">
        <f>'Вводные'!$F37</f>
        <v>149600</v>
      </c>
      <c r="W28" s="65">
        <f>'Вводные'!$F37</f>
        <v>149600</v>
      </c>
      <c r="X28" s="65">
        <f>'Вводные'!$F37</f>
        <v>149600</v>
      </c>
      <c r="Y28" s="65">
        <f>'Вводные'!$F37</f>
        <v>149600</v>
      </c>
      <c r="Z28" s="65">
        <f>'Вводные'!$F37</f>
        <v>149600</v>
      </c>
      <c r="AA28" s="65">
        <f>'Вводные'!$F37</f>
        <v>149600</v>
      </c>
      <c r="AB28" s="65">
        <f>'Вводные'!$F37</f>
        <v>149600</v>
      </c>
      <c r="AC28" s="65">
        <f>'Вводные'!$F37</f>
        <v>149600</v>
      </c>
      <c r="AD28" s="65">
        <f>'Вводные'!$F37</f>
        <v>149600</v>
      </c>
      <c r="AE28" s="65">
        <f>'Вводные'!$F37</f>
        <v>149600</v>
      </c>
      <c r="AF28" s="65">
        <f>'Вводные'!$F37</f>
        <v>149600</v>
      </c>
      <c r="AG28" s="65">
        <f>'Вводные'!$F37</f>
        <v>149600</v>
      </c>
      <c r="AH28" s="65">
        <f>'Вводные'!$F37</f>
        <v>149600</v>
      </c>
      <c r="AI28" s="65">
        <f>'Вводные'!$F37</f>
        <v>149600</v>
      </c>
      <c r="AJ28" s="65">
        <f>'Вводные'!$F37</f>
        <v>149600</v>
      </c>
      <c r="AK28" s="65">
        <f>'Вводные'!$F37</f>
        <v>149600</v>
      </c>
      <c r="AL28" s="65">
        <f>'Вводные'!$F37</f>
        <v>149600</v>
      </c>
      <c r="AM28" s="66">
        <f t="shared" ref="AM28:AM30" si="17">SUM(C28:N28)</f>
        <v>1795200</v>
      </c>
      <c r="AN28" s="66">
        <f t="shared" ref="AN28:AN30" si="18">SUM(O28:Z28)</f>
        <v>1795200</v>
      </c>
      <c r="AO28" s="66">
        <f t="shared" ref="AO28:AO30" si="19">SUM(AA28:AL28)</f>
        <v>1795200</v>
      </c>
      <c r="AP28" s="66">
        <f t="shared" ref="AP28:AP30" si="20">SUM(AM28:AO28)</f>
        <v>5385600</v>
      </c>
    </row>
    <row r="29" ht="16.5" customHeight="1">
      <c r="A29" s="52"/>
      <c r="B29" s="64" t="s">
        <v>159</v>
      </c>
      <c r="C29" s="65">
        <f>'Вводные'!$F38</f>
        <v>0</v>
      </c>
      <c r="D29" s="65">
        <f>'Вводные'!$F38</f>
        <v>0</v>
      </c>
      <c r="E29" s="65">
        <f>'Вводные'!$F38</f>
        <v>0</v>
      </c>
      <c r="F29" s="65">
        <f>'Вводные'!$F38</f>
        <v>0</v>
      </c>
      <c r="G29" s="65">
        <f>'Вводные'!$F38</f>
        <v>0</v>
      </c>
      <c r="H29" s="65">
        <f>'Вводные'!$F38</f>
        <v>0</v>
      </c>
      <c r="I29" s="65">
        <f>'Вводные'!$F38</f>
        <v>0</v>
      </c>
      <c r="J29" s="65">
        <f>'Вводные'!$F38</f>
        <v>0</v>
      </c>
      <c r="K29" s="65">
        <f>'Вводные'!$F38</f>
        <v>0</v>
      </c>
      <c r="L29" s="65">
        <f>'Вводные'!$F38</f>
        <v>0</v>
      </c>
      <c r="M29" s="65">
        <f>'Вводные'!$F38</f>
        <v>0</v>
      </c>
      <c r="N29" s="65">
        <f>'Вводные'!$F38</f>
        <v>0</v>
      </c>
      <c r="O29" s="65">
        <f>'Вводные'!$F38</f>
        <v>0</v>
      </c>
      <c r="P29" s="65">
        <f>'Вводные'!$F38</f>
        <v>0</v>
      </c>
      <c r="Q29" s="65">
        <f>'Вводные'!$F38</f>
        <v>0</v>
      </c>
      <c r="R29" s="65">
        <f>'Вводные'!$F38</f>
        <v>0</v>
      </c>
      <c r="S29" s="65">
        <f>'Вводные'!$F38</f>
        <v>0</v>
      </c>
      <c r="T29" s="65">
        <f>'Вводные'!$F38</f>
        <v>0</v>
      </c>
      <c r="U29" s="65">
        <f>'Вводные'!$F38</f>
        <v>0</v>
      </c>
      <c r="V29" s="65">
        <f>'Вводные'!$F38</f>
        <v>0</v>
      </c>
      <c r="W29" s="65">
        <f>'Вводные'!$F38</f>
        <v>0</v>
      </c>
      <c r="X29" s="65">
        <f>'Вводные'!$F38</f>
        <v>0</v>
      </c>
      <c r="Y29" s="65">
        <f>'Вводные'!$F38</f>
        <v>0</v>
      </c>
      <c r="Z29" s="65">
        <f>'Вводные'!$F38</f>
        <v>0</v>
      </c>
      <c r="AA29" s="65">
        <f>'Вводные'!$F38</f>
        <v>0</v>
      </c>
      <c r="AB29" s="65">
        <f>'Вводные'!$F38</f>
        <v>0</v>
      </c>
      <c r="AC29" s="65">
        <f>'Вводные'!$F38</f>
        <v>0</v>
      </c>
      <c r="AD29" s="65">
        <f>'Вводные'!$F38</f>
        <v>0</v>
      </c>
      <c r="AE29" s="65">
        <f>'Вводные'!$F38</f>
        <v>0</v>
      </c>
      <c r="AF29" s="65">
        <f>'Вводные'!$F38</f>
        <v>0</v>
      </c>
      <c r="AG29" s="65">
        <f>'Вводные'!$F38</f>
        <v>0</v>
      </c>
      <c r="AH29" s="65">
        <f>'Вводные'!$F38</f>
        <v>0</v>
      </c>
      <c r="AI29" s="65">
        <f>'Вводные'!$F38</f>
        <v>0</v>
      </c>
      <c r="AJ29" s="65">
        <f>'Вводные'!$F38</f>
        <v>0</v>
      </c>
      <c r="AK29" s="65">
        <f>'Вводные'!$F38</f>
        <v>0</v>
      </c>
      <c r="AL29" s="65">
        <f>'Вводные'!$F38</f>
        <v>0</v>
      </c>
      <c r="AM29" s="66">
        <f t="shared" si="17"/>
        <v>0</v>
      </c>
      <c r="AN29" s="66">
        <f t="shared" si="18"/>
        <v>0</v>
      </c>
      <c r="AO29" s="66">
        <f t="shared" si="19"/>
        <v>0</v>
      </c>
      <c r="AP29" s="66">
        <f t="shared" si="20"/>
        <v>0</v>
      </c>
    </row>
    <row r="30" ht="16.5" customHeight="1">
      <c r="A30" s="52"/>
      <c r="B30" s="64" t="s">
        <v>160</v>
      </c>
      <c r="C30" s="65">
        <f>'Вводные'!$F39</f>
        <v>20000</v>
      </c>
      <c r="D30" s="65">
        <f>'Вводные'!$F39</f>
        <v>20000</v>
      </c>
      <c r="E30" s="65">
        <f>'Вводные'!$F39</f>
        <v>20000</v>
      </c>
      <c r="F30" s="65">
        <f>'Вводные'!$F39</f>
        <v>20000</v>
      </c>
      <c r="G30" s="65">
        <f>'Вводные'!$F39</f>
        <v>20000</v>
      </c>
      <c r="H30" s="65">
        <f>'Вводные'!$F39</f>
        <v>20000</v>
      </c>
      <c r="I30" s="65">
        <f>'Вводные'!$F39</f>
        <v>20000</v>
      </c>
      <c r="J30" s="65">
        <f>'Вводные'!$F39</f>
        <v>20000</v>
      </c>
      <c r="K30" s="65">
        <f>'Вводные'!$F39</f>
        <v>20000</v>
      </c>
      <c r="L30" s="65">
        <f>'Вводные'!$F39</f>
        <v>20000</v>
      </c>
      <c r="M30" s="65">
        <f>'Вводные'!$F39</f>
        <v>20000</v>
      </c>
      <c r="N30" s="65">
        <f>'Вводные'!$F39</f>
        <v>20000</v>
      </c>
      <c r="O30" s="65">
        <f>'Вводные'!$F39</f>
        <v>20000</v>
      </c>
      <c r="P30" s="65">
        <f>'Вводные'!$F39</f>
        <v>20000</v>
      </c>
      <c r="Q30" s="65">
        <f>'Вводные'!$F39</f>
        <v>20000</v>
      </c>
      <c r="R30" s="65">
        <f>'Вводные'!$F39</f>
        <v>20000</v>
      </c>
      <c r="S30" s="65">
        <f>'Вводные'!$F39</f>
        <v>20000</v>
      </c>
      <c r="T30" s="65">
        <f>'Вводные'!$F39</f>
        <v>20000</v>
      </c>
      <c r="U30" s="65">
        <f>'Вводные'!$F39</f>
        <v>20000</v>
      </c>
      <c r="V30" s="65">
        <f>'Вводные'!$F39</f>
        <v>20000</v>
      </c>
      <c r="W30" s="65">
        <f>'Вводные'!$F39</f>
        <v>20000</v>
      </c>
      <c r="X30" s="65">
        <f>'Вводные'!$F39</f>
        <v>20000</v>
      </c>
      <c r="Y30" s="65">
        <f>'Вводные'!$F39</f>
        <v>20000</v>
      </c>
      <c r="Z30" s="65">
        <f>'Вводные'!$F39</f>
        <v>20000</v>
      </c>
      <c r="AA30" s="65">
        <f>'Вводные'!$F39</f>
        <v>20000</v>
      </c>
      <c r="AB30" s="65">
        <f>'Вводные'!$F39</f>
        <v>20000</v>
      </c>
      <c r="AC30" s="65">
        <f>'Вводные'!$F39</f>
        <v>20000</v>
      </c>
      <c r="AD30" s="65">
        <f>'Вводные'!$F39</f>
        <v>20000</v>
      </c>
      <c r="AE30" s="65">
        <f>'Вводные'!$F39</f>
        <v>20000</v>
      </c>
      <c r="AF30" s="65">
        <f>'Вводные'!$F39</f>
        <v>20000</v>
      </c>
      <c r="AG30" s="65">
        <f>'Вводные'!$F39</f>
        <v>20000</v>
      </c>
      <c r="AH30" s="65">
        <f>'Вводные'!$F39</f>
        <v>20000</v>
      </c>
      <c r="AI30" s="65">
        <f>'Вводные'!$F39</f>
        <v>20000</v>
      </c>
      <c r="AJ30" s="65">
        <f>'Вводные'!$F39</f>
        <v>20000</v>
      </c>
      <c r="AK30" s="65">
        <f>'Вводные'!$F39</f>
        <v>20000</v>
      </c>
      <c r="AL30" s="65">
        <f>'Вводные'!$F39</f>
        <v>20000</v>
      </c>
      <c r="AM30" s="66">
        <f t="shared" si="17"/>
        <v>240000</v>
      </c>
      <c r="AN30" s="66">
        <f t="shared" si="18"/>
        <v>240000</v>
      </c>
      <c r="AO30" s="66">
        <f t="shared" si="19"/>
        <v>240000</v>
      </c>
      <c r="AP30" s="66">
        <f t="shared" si="20"/>
        <v>720000</v>
      </c>
    </row>
    <row r="31" ht="4.5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</row>
    <row r="32" ht="19.5" customHeight="1">
      <c r="A32" s="52"/>
      <c r="B32" s="71" t="s">
        <v>161</v>
      </c>
      <c r="C32" s="65">
        <f>'Вводные'!$F$42</f>
        <v>25000</v>
      </c>
      <c r="D32" s="65">
        <f>'Вводные'!$F$42</f>
        <v>25000</v>
      </c>
      <c r="E32" s="65">
        <f>'Вводные'!$F$42</f>
        <v>25000</v>
      </c>
      <c r="F32" s="65">
        <f>'Вводные'!$F$42</f>
        <v>25000</v>
      </c>
      <c r="G32" s="65">
        <f>'Вводные'!$F$42</f>
        <v>25000</v>
      </c>
      <c r="H32" s="65">
        <f>'Вводные'!$F$42</f>
        <v>25000</v>
      </c>
      <c r="I32" s="65">
        <f>'Вводные'!$F$42</f>
        <v>25000</v>
      </c>
      <c r="J32" s="65">
        <f>'Вводные'!$F$42</f>
        <v>25000</v>
      </c>
      <c r="K32" s="65">
        <f>'Вводные'!$F$42</f>
        <v>25000</v>
      </c>
      <c r="L32" s="65">
        <f>'Вводные'!$F$42</f>
        <v>25000</v>
      </c>
      <c r="M32" s="65">
        <f>'Вводные'!$F$42</f>
        <v>25000</v>
      </c>
      <c r="N32" s="65">
        <f>'Вводные'!$F$42</f>
        <v>25000</v>
      </c>
      <c r="O32" s="65">
        <f>'Вводные'!$F$42</f>
        <v>25000</v>
      </c>
      <c r="P32" s="65">
        <f>'Вводные'!$F$42</f>
        <v>25000</v>
      </c>
      <c r="Q32" s="65">
        <f>'Вводные'!$F$42</f>
        <v>25000</v>
      </c>
      <c r="R32" s="65">
        <f>'Вводные'!$F$42</f>
        <v>25000</v>
      </c>
      <c r="S32" s="65">
        <f>'Вводные'!$F$42</f>
        <v>25000</v>
      </c>
      <c r="T32" s="65">
        <f>'Вводные'!$F$42</f>
        <v>25000</v>
      </c>
      <c r="U32" s="65">
        <f>'Вводные'!$F$42</f>
        <v>25000</v>
      </c>
      <c r="V32" s="65">
        <f>'Вводные'!$F$42</f>
        <v>25000</v>
      </c>
      <c r="W32" s="65">
        <f>'Вводные'!$F$42</f>
        <v>25000</v>
      </c>
      <c r="X32" s="65">
        <f>'Вводные'!$F$42</f>
        <v>25000</v>
      </c>
      <c r="Y32" s="65">
        <f>'Вводные'!$F$42</f>
        <v>25000</v>
      </c>
      <c r="Z32" s="65">
        <f>'Вводные'!$F$42</f>
        <v>25000</v>
      </c>
      <c r="AA32" s="65">
        <f>'Вводные'!$F$42</f>
        <v>25000</v>
      </c>
      <c r="AB32" s="65">
        <f>'Вводные'!$F$42</f>
        <v>25000</v>
      </c>
      <c r="AC32" s="65">
        <f>'Вводные'!$F$42</f>
        <v>25000</v>
      </c>
      <c r="AD32" s="65">
        <f>'Вводные'!$F$42</f>
        <v>25000</v>
      </c>
      <c r="AE32" s="65">
        <f>'Вводные'!$F$42</f>
        <v>25000</v>
      </c>
      <c r="AF32" s="65">
        <f>'Вводные'!$F$42</f>
        <v>25000</v>
      </c>
      <c r="AG32" s="65">
        <f>'Вводные'!$F$42</f>
        <v>25000</v>
      </c>
      <c r="AH32" s="65">
        <f>'Вводные'!$F$42</f>
        <v>25000</v>
      </c>
      <c r="AI32" s="65">
        <f>'Вводные'!$F$42</f>
        <v>25000</v>
      </c>
      <c r="AJ32" s="65">
        <f>'Вводные'!$F$42</f>
        <v>25000</v>
      </c>
      <c r="AK32" s="65">
        <f>'Вводные'!$F$42</f>
        <v>25000</v>
      </c>
      <c r="AL32" s="65">
        <f>'Вводные'!$F$42</f>
        <v>25000</v>
      </c>
      <c r="AM32" s="66">
        <f>SUM(C32:N32)</f>
        <v>300000</v>
      </c>
      <c r="AN32" s="66">
        <f>SUM(O32:Z32)</f>
        <v>300000</v>
      </c>
      <c r="AO32" s="66">
        <f>SUM(AA32:AL32)</f>
        <v>300000</v>
      </c>
      <c r="AP32" s="66">
        <f>SUM(AM32:AO32)</f>
        <v>900000</v>
      </c>
    </row>
    <row r="33" ht="4.5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</row>
    <row r="34" ht="24.0" customHeight="1">
      <c r="A34" s="52"/>
      <c r="B34" s="72" t="s">
        <v>162</v>
      </c>
      <c r="C34" s="62">
        <f t="shared" ref="C34:AL34" si="21">C4-C9-C32</f>
        <v>206642</v>
      </c>
      <c r="D34" s="62">
        <f t="shared" si="21"/>
        <v>316482</v>
      </c>
      <c r="E34" s="62">
        <f t="shared" si="21"/>
        <v>426322</v>
      </c>
      <c r="F34" s="62">
        <f t="shared" si="21"/>
        <v>541162</v>
      </c>
      <c r="G34" s="62">
        <f t="shared" si="21"/>
        <v>656002</v>
      </c>
      <c r="H34" s="62">
        <f t="shared" si="21"/>
        <v>770842</v>
      </c>
      <c r="I34" s="62">
        <f t="shared" si="21"/>
        <v>885682</v>
      </c>
      <c r="J34" s="62">
        <f t="shared" si="21"/>
        <v>1000522</v>
      </c>
      <c r="K34" s="62">
        <f t="shared" si="21"/>
        <v>1115362</v>
      </c>
      <c r="L34" s="62">
        <f t="shared" si="21"/>
        <v>1230202</v>
      </c>
      <c r="M34" s="62">
        <f t="shared" si="21"/>
        <v>1345042</v>
      </c>
      <c r="N34" s="62">
        <f t="shared" si="21"/>
        <v>1345042</v>
      </c>
      <c r="O34" s="62">
        <f t="shared" si="21"/>
        <v>1345042</v>
      </c>
      <c r="P34" s="62">
        <f t="shared" si="21"/>
        <v>1345042</v>
      </c>
      <c r="Q34" s="62">
        <f t="shared" si="21"/>
        <v>1345042</v>
      </c>
      <c r="R34" s="62">
        <f t="shared" si="21"/>
        <v>1345042</v>
      </c>
      <c r="S34" s="62">
        <f t="shared" si="21"/>
        <v>1345042</v>
      </c>
      <c r="T34" s="62">
        <f t="shared" si="21"/>
        <v>1345042</v>
      </c>
      <c r="U34" s="62">
        <f t="shared" si="21"/>
        <v>1345042</v>
      </c>
      <c r="V34" s="62">
        <f t="shared" si="21"/>
        <v>1345042</v>
      </c>
      <c r="W34" s="62">
        <f t="shared" si="21"/>
        <v>1345042</v>
      </c>
      <c r="X34" s="62">
        <f t="shared" si="21"/>
        <v>1345042</v>
      </c>
      <c r="Y34" s="62">
        <f t="shared" si="21"/>
        <v>1345042</v>
      </c>
      <c r="Z34" s="62">
        <f t="shared" si="21"/>
        <v>1345042</v>
      </c>
      <c r="AA34" s="62">
        <f t="shared" si="21"/>
        <v>1345042</v>
      </c>
      <c r="AB34" s="62">
        <f t="shared" si="21"/>
        <v>1345042</v>
      </c>
      <c r="AC34" s="62">
        <f t="shared" si="21"/>
        <v>1345042</v>
      </c>
      <c r="AD34" s="62">
        <f t="shared" si="21"/>
        <v>1345042</v>
      </c>
      <c r="AE34" s="62">
        <f t="shared" si="21"/>
        <v>1345042</v>
      </c>
      <c r="AF34" s="62">
        <f t="shared" si="21"/>
        <v>1345042</v>
      </c>
      <c r="AG34" s="62">
        <f t="shared" si="21"/>
        <v>1345042</v>
      </c>
      <c r="AH34" s="62">
        <f t="shared" si="21"/>
        <v>1345042</v>
      </c>
      <c r="AI34" s="62">
        <f t="shared" si="21"/>
        <v>1345042</v>
      </c>
      <c r="AJ34" s="62">
        <f t="shared" si="21"/>
        <v>1345042</v>
      </c>
      <c r="AK34" s="62">
        <f t="shared" si="21"/>
        <v>1345042</v>
      </c>
      <c r="AL34" s="62">
        <f t="shared" si="21"/>
        <v>1345042</v>
      </c>
      <c r="AM34" s="63">
        <f>SUM(C34:N34)</f>
        <v>9839304</v>
      </c>
      <c r="AN34" s="63">
        <f>SUM(O34:Z34)</f>
        <v>16140504</v>
      </c>
      <c r="AO34" s="63">
        <f>SUM(AA34:AL34)</f>
        <v>16140504</v>
      </c>
      <c r="AP34" s="63">
        <f>SUM(AM34:AO34)</f>
        <v>42120312</v>
      </c>
    </row>
    <row r="35" ht="19.5" customHeight="1">
      <c r="A35" s="52"/>
      <c r="B35" s="73" t="s">
        <v>163</v>
      </c>
      <c r="C35" s="74">
        <f t="shared" ref="C35:AL35" si="22">IFERROR(C34/C4,0)</f>
        <v>0.1148011111</v>
      </c>
      <c r="D35" s="74">
        <f t="shared" si="22"/>
        <v>0.1598393939</v>
      </c>
      <c r="E35" s="74">
        <f t="shared" si="22"/>
        <v>0.1973712963</v>
      </c>
      <c r="F35" s="74">
        <f t="shared" si="22"/>
        <v>0.231265812</v>
      </c>
      <c r="G35" s="74">
        <f t="shared" si="22"/>
        <v>0.260318254</v>
      </c>
      <c r="H35" s="74">
        <f t="shared" si="22"/>
        <v>0.285497037</v>
      </c>
      <c r="I35" s="74">
        <f t="shared" si="22"/>
        <v>0.3075284722</v>
      </c>
      <c r="J35" s="74">
        <f t="shared" si="22"/>
        <v>0.3269679739</v>
      </c>
      <c r="K35" s="74">
        <f t="shared" si="22"/>
        <v>0.3442475309</v>
      </c>
      <c r="L35" s="74">
        <f t="shared" si="22"/>
        <v>0.3597081871</v>
      </c>
      <c r="M35" s="74">
        <f t="shared" si="22"/>
        <v>0.3736227778</v>
      </c>
      <c r="N35" s="74">
        <f t="shared" si="22"/>
        <v>0.3736227778</v>
      </c>
      <c r="O35" s="74">
        <f t="shared" si="22"/>
        <v>0.3736227778</v>
      </c>
      <c r="P35" s="74">
        <f t="shared" si="22"/>
        <v>0.3736227778</v>
      </c>
      <c r="Q35" s="74">
        <f t="shared" si="22"/>
        <v>0.3736227778</v>
      </c>
      <c r="R35" s="74">
        <f t="shared" si="22"/>
        <v>0.3736227778</v>
      </c>
      <c r="S35" s="74">
        <f t="shared" si="22"/>
        <v>0.3736227778</v>
      </c>
      <c r="T35" s="74">
        <f t="shared" si="22"/>
        <v>0.3736227778</v>
      </c>
      <c r="U35" s="74">
        <f t="shared" si="22"/>
        <v>0.3736227778</v>
      </c>
      <c r="V35" s="74">
        <f t="shared" si="22"/>
        <v>0.3736227778</v>
      </c>
      <c r="W35" s="74">
        <f t="shared" si="22"/>
        <v>0.3736227778</v>
      </c>
      <c r="X35" s="74">
        <f t="shared" si="22"/>
        <v>0.3736227778</v>
      </c>
      <c r="Y35" s="74">
        <f t="shared" si="22"/>
        <v>0.3736227778</v>
      </c>
      <c r="Z35" s="74">
        <f t="shared" si="22"/>
        <v>0.3736227778</v>
      </c>
      <c r="AA35" s="74">
        <f t="shared" si="22"/>
        <v>0.3736227778</v>
      </c>
      <c r="AB35" s="74">
        <f t="shared" si="22"/>
        <v>0.3736227778</v>
      </c>
      <c r="AC35" s="74">
        <f t="shared" si="22"/>
        <v>0.3736227778</v>
      </c>
      <c r="AD35" s="74">
        <f t="shared" si="22"/>
        <v>0.3736227778</v>
      </c>
      <c r="AE35" s="74">
        <f t="shared" si="22"/>
        <v>0.3736227778</v>
      </c>
      <c r="AF35" s="74">
        <f t="shared" si="22"/>
        <v>0.3736227778</v>
      </c>
      <c r="AG35" s="74">
        <f t="shared" si="22"/>
        <v>0.3736227778</v>
      </c>
      <c r="AH35" s="74">
        <f t="shared" si="22"/>
        <v>0.3736227778</v>
      </c>
      <c r="AI35" s="74">
        <f t="shared" si="22"/>
        <v>0.3736227778</v>
      </c>
      <c r="AJ35" s="74">
        <f t="shared" si="22"/>
        <v>0.3736227778</v>
      </c>
      <c r="AK35" s="74">
        <f t="shared" si="22"/>
        <v>0.3736227778</v>
      </c>
      <c r="AL35" s="74">
        <f t="shared" si="22"/>
        <v>0.3736227778</v>
      </c>
      <c r="AM35" s="75">
        <f>IFERROR(SUM(C34:N34)/SUM(C4:N4),0)</f>
        <v>0.2954745946</v>
      </c>
      <c r="AN35" s="75">
        <f>IFERROR(SUM(O34:Z34)/SUM(O4:Z4),0)</f>
        <v>0.3736227778</v>
      </c>
      <c r="AO35" s="75">
        <f>IFERROR(SUM(AA34:AL34)/SUM(AA4:AL4),0)</f>
        <v>0.3736227778</v>
      </c>
      <c r="AP35" s="75">
        <f>IFERROR(AP34/AP4,0)</f>
        <v>0.3518823058</v>
      </c>
    </row>
    <row r="36" ht="4.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</row>
    <row r="37" ht="19.5" customHeight="1">
      <c r="A37" s="52"/>
      <c r="B37" s="73" t="s">
        <v>164</v>
      </c>
      <c r="C37" s="76">
        <f>-'Вводные'!$F$48+C34</f>
        <v>-4435669</v>
      </c>
      <c r="D37" s="76">
        <f t="shared" ref="D37:AL37" si="23">C37+D34</f>
        <v>-4119187</v>
      </c>
      <c r="E37" s="76">
        <f t="shared" si="23"/>
        <v>-3692865</v>
      </c>
      <c r="F37" s="76">
        <f t="shared" si="23"/>
        <v>-3151703</v>
      </c>
      <c r="G37" s="76">
        <f t="shared" si="23"/>
        <v>-2495701</v>
      </c>
      <c r="H37" s="76">
        <f t="shared" si="23"/>
        <v>-1724859</v>
      </c>
      <c r="I37" s="76">
        <f t="shared" si="23"/>
        <v>-839177</v>
      </c>
      <c r="J37" s="76">
        <f t="shared" si="23"/>
        <v>161345</v>
      </c>
      <c r="K37" s="76">
        <f t="shared" si="23"/>
        <v>1276707</v>
      </c>
      <c r="L37" s="76">
        <f t="shared" si="23"/>
        <v>2506909</v>
      </c>
      <c r="M37" s="76">
        <f t="shared" si="23"/>
        <v>3851951</v>
      </c>
      <c r="N37" s="76">
        <f t="shared" si="23"/>
        <v>5196993</v>
      </c>
      <c r="O37" s="76">
        <f t="shared" si="23"/>
        <v>6542035</v>
      </c>
      <c r="P37" s="76">
        <f t="shared" si="23"/>
        <v>7887077</v>
      </c>
      <c r="Q37" s="76">
        <f t="shared" si="23"/>
        <v>9232119</v>
      </c>
      <c r="R37" s="76">
        <f t="shared" si="23"/>
        <v>10577161</v>
      </c>
      <c r="S37" s="76">
        <f t="shared" si="23"/>
        <v>11922203</v>
      </c>
      <c r="T37" s="76">
        <f t="shared" si="23"/>
        <v>13267245</v>
      </c>
      <c r="U37" s="76">
        <f t="shared" si="23"/>
        <v>14612287</v>
      </c>
      <c r="V37" s="76">
        <f t="shared" si="23"/>
        <v>15957329</v>
      </c>
      <c r="W37" s="76">
        <f t="shared" si="23"/>
        <v>17302371</v>
      </c>
      <c r="X37" s="76">
        <f t="shared" si="23"/>
        <v>18647413</v>
      </c>
      <c r="Y37" s="76">
        <f t="shared" si="23"/>
        <v>19992455</v>
      </c>
      <c r="Z37" s="76">
        <f t="shared" si="23"/>
        <v>21337497</v>
      </c>
      <c r="AA37" s="76">
        <f t="shared" si="23"/>
        <v>22682539</v>
      </c>
      <c r="AB37" s="76">
        <f t="shared" si="23"/>
        <v>24027581</v>
      </c>
      <c r="AC37" s="76">
        <f t="shared" si="23"/>
        <v>25372623</v>
      </c>
      <c r="AD37" s="76">
        <f t="shared" si="23"/>
        <v>26717665</v>
      </c>
      <c r="AE37" s="76">
        <f t="shared" si="23"/>
        <v>28062707</v>
      </c>
      <c r="AF37" s="76">
        <f t="shared" si="23"/>
        <v>29407749</v>
      </c>
      <c r="AG37" s="76">
        <f t="shared" si="23"/>
        <v>30752791</v>
      </c>
      <c r="AH37" s="76">
        <f t="shared" si="23"/>
        <v>32097833</v>
      </c>
      <c r="AI37" s="76">
        <f t="shared" si="23"/>
        <v>33442875</v>
      </c>
      <c r="AJ37" s="76">
        <f t="shared" si="23"/>
        <v>34787917</v>
      </c>
      <c r="AK37" s="76">
        <f t="shared" si="23"/>
        <v>36132959</v>
      </c>
      <c r="AL37" s="76">
        <f t="shared" si="23"/>
        <v>37478001</v>
      </c>
      <c r="AM37" s="76">
        <f>N37</f>
        <v>5196993</v>
      </c>
      <c r="AN37" s="76">
        <f>Z37</f>
        <v>21337497</v>
      </c>
      <c r="AO37" s="76">
        <f>AL37</f>
        <v>37478001</v>
      </c>
      <c r="AP37" s="76">
        <f>AL37</f>
        <v>37478001</v>
      </c>
    </row>
    <row r="38" ht="16.5" customHeight="1">
      <c r="A38" s="52"/>
      <c r="B38" s="64" t="s">
        <v>165</v>
      </c>
      <c r="C38" s="77">
        <f>(C11+C14+C17+C32)/(1-'Вводные'!$F$16-0.8*'Вводные'!$F$17-'Вводные'!$F$18)</f>
        <v>1476109.718</v>
      </c>
      <c r="D38" s="52">
        <f>(D11+D14+D17+D32)/(1-'Вводные'!$F$16-0.8*'Вводные'!$F$17-'Вводные'!$F$18)</f>
        <v>1483946.708</v>
      </c>
      <c r="E38" s="52">
        <f>(E11+E14+E17+E32)/(1-'Вводные'!$F$16-0.8*'Вводные'!$F$17-'Вводные'!$F$18)</f>
        <v>1491783.699</v>
      </c>
      <c r="F38" s="52">
        <f>(F11+F14+F17+F32)/(1-'Вводные'!$F$16-0.8*'Вводные'!$F$17-'Вводные'!$F$18)</f>
        <v>1491783.699</v>
      </c>
      <c r="G38" s="52">
        <f>(G11+G14+G17+G32)/(1-'Вводные'!$F$16-0.8*'Вводные'!$F$17-'Вводные'!$F$18)</f>
        <v>1491783.699</v>
      </c>
      <c r="H38" s="52">
        <f>(H11+H14+H17+H32)/(1-'Вводные'!$F$16-0.8*'Вводные'!$F$17-'Вводные'!$F$18)</f>
        <v>1491783.699</v>
      </c>
      <c r="I38" s="52">
        <f>(I11+I14+I17+I32)/(1-'Вводные'!$F$16-0.8*'Вводные'!$F$17-'Вводные'!$F$18)</f>
        <v>1491783.699</v>
      </c>
      <c r="J38" s="52">
        <f>(J11+J14+J17+J32)/(1-'Вводные'!$F$16-0.8*'Вводные'!$F$17-'Вводные'!$F$18)</f>
        <v>1491783.699</v>
      </c>
      <c r="K38" s="52">
        <f>(K11+K14+K17+K32)/(1-'Вводные'!$F$16-0.8*'Вводные'!$F$17-'Вводные'!$F$18)</f>
        <v>1491783.699</v>
      </c>
      <c r="L38" s="52">
        <f>(L11+L14+L17+L32)/(1-'Вводные'!$F$16-0.8*'Вводные'!$F$17-'Вводные'!$F$18)</f>
        <v>1491783.699</v>
      </c>
      <c r="M38" s="52">
        <f>(M11+M14+M17+M32)/(1-'Вводные'!$F$16-0.8*'Вводные'!$F$17-'Вводные'!$F$18)</f>
        <v>1491783.699</v>
      </c>
      <c r="N38" s="52">
        <f>(N11+N14+N17+N32)/(1-'Вводные'!$F$16-0.8*'Вводные'!$F$17-'Вводные'!$F$18)</f>
        <v>1491783.699</v>
      </c>
      <c r="O38" s="52">
        <f>(O11+O14+O17+O32)/(1-'Вводные'!$F$16-0.8*'Вводные'!$F$17-'Вводные'!$F$18)</f>
        <v>1491783.699</v>
      </c>
      <c r="P38" s="52">
        <f>(P11+P14+P17+P32)/(1-'Вводные'!$F$16-0.8*'Вводные'!$F$17-'Вводные'!$F$18)</f>
        <v>1491783.699</v>
      </c>
      <c r="Q38" s="52">
        <f>(Q11+Q14+Q17+Q32)/(1-'Вводные'!$F$16-0.8*'Вводные'!$F$17-'Вводные'!$F$18)</f>
        <v>1491783.699</v>
      </c>
      <c r="R38" s="52">
        <f>(R11+R14+R17+R32)/(1-'Вводные'!$F$16-0.8*'Вводные'!$F$17-'Вводные'!$F$18)</f>
        <v>1491783.699</v>
      </c>
      <c r="S38" s="52">
        <f>(S11+S14+S17+S32)/(1-'Вводные'!$F$16-0.8*'Вводные'!$F$17-'Вводные'!$F$18)</f>
        <v>1491783.699</v>
      </c>
      <c r="T38" s="52">
        <f>(T11+T14+T17+T32)/(1-'Вводные'!$F$16-0.8*'Вводные'!$F$17-'Вводные'!$F$18)</f>
        <v>1491783.699</v>
      </c>
      <c r="U38" s="52">
        <f>(U11+U14+U17+U32)/(1-'Вводные'!$F$16-0.8*'Вводные'!$F$17-'Вводные'!$F$18)</f>
        <v>1491783.699</v>
      </c>
      <c r="V38" s="52">
        <f>(V11+V14+V17+V32)/(1-'Вводные'!$F$16-0.8*'Вводные'!$F$17-'Вводные'!$F$18)</f>
        <v>1491783.699</v>
      </c>
      <c r="W38" s="52">
        <f>(W11+W14+W17+W32)/(1-'Вводные'!$F$16-0.8*'Вводные'!$F$17-'Вводные'!$F$18)</f>
        <v>1491783.699</v>
      </c>
      <c r="X38" s="52">
        <f>(X11+X14+X17+X32)/(1-'Вводные'!$F$16-0.8*'Вводные'!$F$17-'Вводные'!$F$18)</f>
        <v>1491783.699</v>
      </c>
      <c r="Y38" s="52">
        <f>(Y11+Y14+Y17+Y32)/(1-'Вводные'!$F$16-0.8*'Вводные'!$F$17-'Вводные'!$F$18)</f>
        <v>1491783.699</v>
      </c>
      <c r="Z38" s="52">
        <f>(Z11+Z14+Z17+Z32)/(1-'Вводные'!$F$16-0.8*'Вводные'!$F$17-'Вводные'!$F$18)</f>
        <v>1491783.699</v>
      </c>
      <c r="AA38" s="52">
        <f>(AA11+AA14+AA17+AA32)/(1-'Вводные'!$F$16-0.8*'Вводные'!$F$17-'Вводные'!$F$18)</f>
        <v>1491783.699</v>
      </c>
      <c r="AB38" s="52">
        <f>(AB11+AB14+AB17+AB32)/(1-'Вводные'!$F$16-0.8*'Вводные'!$F$17-'Вводные'!$F$18)</f>
        <v>1491783.699</v>
      </c>
      <c r="AC38" s="52">
        <f>(AC11+AC14+AC17+AC32)/(1-'Вводные'!$F$16-0.8*'Вводные'!$F$17-'Вводные'!$F$18)</f>
        <v>1491783.699</v>
      </c>
      <c r="AD38" s="52">
        <f>(AD11+AD14+AD17+AD32)/(1-'Вводные'!$F$16-0.8*'Вводные'!$F$17-'Вводные'!$F$18)</f>
        <v>1491783.699</v>
      </c>
      <c r="AE38" s="52">
        <f>(AE11+AE14+AE17+AE32)/(1-'Вводные'!$F$16-0.8*'Вводные'!$F$17-'Вводные'!$F$18)</f>
        <v>1491783.699</v>
      </c>
      <c r="AF38" s="52">
        <f>(AF11+AF14+AF17+AF32)/(1-'Вводные'!$F$16-0.8*'Вводные'!$F$17-'Вводные'!$F$18)</f>
        <v>1491783.699</v>
      </c>
      <c r="AG38" s="52">
        <f>(AG11+AG14+AG17+AG32)/(1-'Вводные'!$F$16-0.8*'Вводные'!$F$17-'Вводные'!$F$18)</f>
        <v>1491783.699</v>
      </c>
      <c r="AH38" s="52">
        <f>(AH11+AH14+AH17+AH32)/(1-'Вводные'!$F$16-0.8*'Вводные'!$F$17-'Вводные'!$F$18)</f>
        <v>1491783.699</v>
      </c>
      <c r="AI38" s="52">
        <f>(AI11+AI14+AI17+AI32)/(1-'Вводные'!$F$16-0.8*'Вводные'!$F$17-'Вводные'!$F$18)</f>
        <v>1491783.699</v>
      </c>
      <c r="AJ38" s="52">
        <f>(AJ11+AJ14+AJ17+AJ32)/(1-'Вводные'!$F$16-0.8*'Вводные'!$F$17-'Вводные'!$F$18)</f>
        <v>1491783.699</v>
      </c>
      <c r="AK38" s="52">
        <f>(AK11+AK14+AK17+AK32)/(1-'Вводные'!$F$16-0.8*'Вводные'!$F$17-'Вводные'!$F$18)</f>
        <v>1491783.699</v>
      </c>
      <c r="AL38" s="52">
        <f>(AL11+AL14+AL17+AL32)/(1-'Вводные'!$F$16-0.8*'Вводные'!$F$17-'Вводные'!$F$18)</f>
        <v>1491783.699</v>
      </c>
      <c r="AM38" s="52"/>
      <c r="AN38" s="52"/>
      <c r="AO38" s="52"/>
      <c r="AP38" s="52"/>
    </row>
    <row r="39" ht="15.75" customHeight="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</row>
    <row r="40" ht="15.75" customHeigh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</row>
    <row r="41" ht="15.75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</row>
    <row r="42" ht="15.75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</row>
    <row r="43" ht="15.75" customHeight="1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</row>
    <row r="44" ht="15.75" customHeight="1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</row>
    <row r="45" ht="15.75" customHeight="1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</row>
    <row r="46" ht="15.75" customHeight="1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</row>
    <row r="47" ht="15.75" customHeight="1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</row>
    <row r="48" ht="15.75" customHeight="1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</row>
    <row r="49" ht="15.75" customHeight="1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</row>
    <row r="50" ht="15.75" customHeigh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</row>
    <row r="51" ht="15.75" customHeight="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</row>
    <row r="52" ht="15.75" customHeight="1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</row>
    <row r="53" ht="15.75" customHeight="1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</row>
    <row r="54" ht="15.75" customHeight="1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</row>
    <row r="55" ht="15.75" customHeight="1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</row>
    <row r="56" ht="15.75" customHeigh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</row>
    <row r="57" ht="15.75" customHeight="1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</row>
    <row r="58" ht="15.75" customHeight="1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</row>
    <row r="59" ht="15.75" customHeight="1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</row>
    <row r="60" ht="15.75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</row>
    <row r="61" ht="15.75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</row>
    <row r="62" ht="15.75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</row>
    <row r="63" ht="15.75" customHeight="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</row>
    <row r="64" ht="15.75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</row>
    <row r="65" ht="15.75" customHeight="1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</row>
    <row r="66" ht="15.75" customHeight="1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</row>
    <row r="67" ht="15.75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</row>
    <row r="68" ht="15.75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</row>
    <row r="69" ht="15.75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</row>
    <row r="70" ht="15.75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</row>
    <row r="71" ht="15.75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</row>
    <row r="72" ht="15.75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</row>
    <row r="73" ht="15.75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</row>
    <row r="74" ht="15.75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</row>
    <row r="75" ht="15.75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</row>
    <row r="76" ht="15.75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</row>
    <row r="77" ht="15.75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</row>
    <row r="78" ht="15.75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</row>
    <row r="79" ht="15.75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</row>
    <row r="80" ht="15.75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</row>
    <row r="81" ht="15.75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</row>
    <row r="82" ht="15.75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</row>
    <row r="83" ht="15.75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</row>
    <row r="84" ht="15.7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</row>
    <row r="85" ht="15.75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</row>
    <row r="86" ht="15.75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</row>
    <row r="87" ht="15.75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</row>
    <row r="88" ht="15.7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</row>
    <row r="89" ht="15.7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2"/>
      <c r="AP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  <c r="AO115" s="52"/>
      <c r="AP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P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2"/>
      <c r="AP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  <c r="AP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52"/>
      <c r="AP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  <c r="AP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2"/>
      <c r="AP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  <c r="AP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2"/>
      <c r="AP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2"/>
      <c r="AP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2"/>
      <c r="AP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2"/>
      <c r="AP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  <c r="AO160" s="52"/>
      <c r="AP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  <c r="AP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2"/>
      <c r="AP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52"/>
      <c r="AN163" s="52"/>
      <c r="AO163" s="52"/>
      <c r="AP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52"/>
      <c r="AK170" s="52"/>
      <c r="AL170" s="52"/>
      <c r="AM170" s="52"/>
      <c r="AN170" s="52"/>
      <c r="AO170" s="52"/>
      <c r="AP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52"/>
      <c r="AN171" s="52"/>
      <c r="AO171" s="52"/>
      <c r="AP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2"/>
      <c r="AP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  <c r="AO174" s="52"/>
      <c r="AP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52"/>
      <c r="AK175" s="52"/>
      <c r="AL175" s="52"/>
      <c r="AM175" s="52"/>
      <c r="AN175" s="52"/>
      <c r="AO175" s="52"/>
      <c r="AP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52"/>
      <c r="AN176" s="52"/>
      <c r="AO176" s="52"/>
      <c r="AP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  <c r="AM177" s="52"/>
      <c r="AN177" s="52"/>
      <c r="AO177" s="52"/>
      <c r="AP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  <c r="AM178" s="52"/>
      <c r="AN178" s="52"/>
      <c r="AO178" s="52"/>
      <c r="AP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2"/>
      <c r="AP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  <c r="AM180" s="52"/>
      <c r="AN180" s="52"/>
      <c r="AO180" s="52"/>
      <c r="AP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  <c r="AM182" s="52"/>
      <c r="AN182" s="52"/>
      <c r="AO182" s="52"/>
      <c r="AP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  <c r="AM183" s="52"/>
      <c r="AN183" s="52"/>
      <c r="AO183" s="52"/>
      <c r="AP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  <c r="AM184" s="52"/>
      <c r="AN184" s="52"/>
      <c r="AO184" s="52"/>
      <c r="AP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52"/>
      <c r="AN185" s="52"/>
      <c r="AO185" s="52"/>
      <c r="AP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  <c r="AO186" s="52"/>
      <c r="AP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  <c r="AK187" s="52"/>
      <c r="AL187" s="52"/>
      <c r="AM187" s="52"/>
      <c r="AN187" s="52"/>
      <c r="AO187" s="52"/>
      <c r="AP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  <c r="AK188" s="52"/>
      <c r="AL188" s="52"/>
      <c r="AM188" s="52"/>
      <c r="AN188" s="52"/>
      <c r="AO188" s="52"/>
      <c r="AP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  <c r="AK189" s="52"/>
      <c r="AL189" s="52"/>
      <c r="AM189" s="52"/>
      <c r="AN189" s="52"/>
      <c r="AO189" s="52"/>
      <c r="AP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52"/>
      <c r="AL190" s="52"/>
      <c r="AM190" s="52"/>
      <c r="AN190" s="52"/>
      <c r="AO190" s="52"/>
      <c r="AP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  <c r="AO191" s="52"/>
      <c r="AP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2"/>
      <c r="AP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52"/>
      <c r="AK193" s="52"/>
      <c r="AL193" s="52"/>
      <c r="AM193" s="52"/>
      <c r="AN193" s="52"/>
      <c r="AO193" s="52"/>
      <c r="AP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52"/>
      <c r="AK194" s="52"/>
      <c r="AL194" s="52"/>
      <c r="AM194" s="52"/>
      <c r="AN194" s="52"/>
      <c r="AO194" s="52"/>
      <c r="AP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52"/>
      <c r="AJ195" s="52"/>
      <c r="AK195" s="52"/>
      <c r="AL195" s="52"/>
      <c r="AM195" s="52"/>
      <c r="AN195" s="52"/>
      <c r="AO195" s="52"/>
      <c r="AP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52"/>
      <c r="AK196" s="52"/>
      <c r="AL196" s="52"/>
      <c r="AM196" s="52"/>
      <c r="AN196" s="52"/>
      <c r="AO196" s="52"/>
      <c r="AP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52"/>
      <c r="AK198" s="52"/>
      <c r="AL198" s="52"/>
      <c r="AM198" s="52"/>
      <c r="AN198" s="52"/>
      <c r="AO198" s="52"/>
      <c r="AP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  <c r="AK199" s="52"/>
      <c r="AL199" s="52"/>
      <c r="AM199" s="52"/>
      <c r="AN199" s="52"/>
      <c r="AO199" s="52"/>
      <c r="AP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52"/>
      <c r="AN200" s="52"/>
      <c r="AO200" s="52"/>
      <c r="AP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52"/>
      <c r="AN201" s="52"/>
      <c r="AO201" s="52"/>
      <c r="AP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52"/>
      <c r="AK202" s="52"/>
      <c r="AL202" s="52"/>
      <c r="AM202" s="52"/>
      <c r="AN202" s="52"/>
      <c r="AO202" s="52"/>
      <c r="AP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52"/>
      <c r="AJ203" s="52"/>
      <c r="AK203" s="52"/>
      <c r="AL203" s="52"/>
      <c r="AM203" s="52"/>
      <c r="AN203" s="52"/>
      <c r="AO203" s="52"/>
      <c r="AP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52"/>
      <c r="AJ204" s="52"/>
      <c r="AK204" s="52"/>
      <c r="AL204" s="52"/>
      <c r="AM204" s="52"/>
      <c r="AN204" s="52"/>
      <c r="AO204" s="52"/>
      <c r="AP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  <c r="AK205" s="52"/>
      <c r="AL205" s="52"/>
      <c r="AM205" s="52"/>
      <c r="AN205" s="52"/>
      <c r="AO205" s="52"/>
      <c r="AP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52"/>
      <c r="AK206" s="52"/>
      <c r="AL206" s="52"/>
      <c r="AM206" s="52"/>
      <c r="AN206" s="52"/>
      <c r="AO206" s="52"/>
      <c r="AP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  <c r="AK207" s="52"/>
      <c r="AL207" s="52"/>
      <c r="AM207" s="52"/>
      <c r="AN207" s="52"/>
      <c r="AO207" s="52"/>
      <c r="AP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52"/>
      <c r="AN208" s="52"/>
      <c r="AO208" s="52"/>
      <c r="AP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52"/>
      <c r="AL209" s="52"/>
      <c r="AM209" s="52"/>
      <c r="AN209" s="52"/>
      <c r="AO209" s="52"/>
      <c r="AP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52"/>
      <c r="AK210" s="52"/>
      <c r="AL210" s="52"/>
      <c r="AM210" s="52"/>
      <c r="AN210" s="52"/>
      <c r="AO210" s="52"/>
      <c r="AP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52"/>
      <c r="AK211" s="52"/>
      <c r="AL211" s="52"/>
      <c r="AM211" s="52"/>
      <c r="AN211" s="52"/>
      <c r="AO211" s="52"/>
      <c r="AP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52"/>
      <c r="AN212" s="52"/>
      <c r="AO212" s="52"/>
      <c r="AP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  <c r="AK213" s="52"/>
      <c r="AL213" s="52"/>
      <c r="AM213" s="52"/>
      <c r="AN213" s="52"/>
      <c r="AO213" s="52"/>
      <c r="AP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52"/>
      <c r="AJ214" s="52"/>
      <c r="AK214" s="52"/>
      <c r="AL214" s="52"/>
      <c r="AM214" s="52"/>
      <c r="AN214" s="52"/>
      <c r="AO214" s="52"/>
      <c r="AP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52"/>
      <c r="AK215" s="52"/>
      <c r="AL215" s="52"/>
      <c r="AM215" s="52"/>
      <c r="AN215" s="52"/>
      <c r="AO215" s="52"/>
      <c r="AP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  <c r="AJ216" s="52"/>
      <c r="AK216" s="52"/>
      <c r="AL216" s="52"/>
      <c r="AM216" s="52"/>
      <c r="AN216" s="52"/>
      <c r="AO216" s="52"/>
      <c r="AP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52"/>
      <c r="AJ217" s="52"/>
      <c r="AK217" s="52"/>
      <c r="AL217" s="52"/>
      <c r="AM217" s="52"/>
      <c r="AN217" s="52"/>
      <c r="AO217" s="52"/>
      <c r="AP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  <c r="AK218" s="52"/>
      <c r="AL218" s="52"/>
      <c r="AM218" s="52"/>
      <c r="AN218" s="52"/>
      <c r="AO218" s="52"/>
      <c r="AP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52"/>
      <c r="AJ219" s="52"/>
      <c r="AK219" s="52"/>
      <c r="AL219" s="52"/>
      <c r="AM219" s="52"/>
      <c r="AN219" s="52"/>
      <c r="AO219" s="52"/>
      <c r="AP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52"/>
      <c r="AJ220" s="52"/>
      <c r="AK220" s="52"/>
      <c r="AL220" s="52"/>
      <c r="AM220" s="52"/>
      <c r="AN220" s="52"/>
      <c r="AO220" s="52"/>
      <c r="AP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  <c r="AK221" s="52"/>
      <c r="AL221" s="52"/>
      <c r="AM221" s="52"/>
      <c r="AN221" s="52"/>
      <c r="AO221" s="52"/>
      <c r="AP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2"/>
      <c r="AJ222" s="52"/>
      <c r="AK222" s="52"/>
      <c r="AL222" s="52"/>
      <c r="AM222" s="52"/>
      <c r="AN222" s="52"/>
      <c r="AO222" s="52"/>
      <c r="AP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52"/>
      <c r="AJ223" s="52"/>
      <c r="AK223" s="52"/>
      <c r="AL223" s="52"/>
      <c r="AM223" s="52"/>
      <c r="AN223" s="52"/>
      <c r="AO223" s="52"/>
      <c r="AP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  <c r="AK224" s="52"/>
      <c r="AL224" s="52"/>
      <c r="AM224" s="52"/>
      <c r="AN224" s="52"/>
      <c r="AO224" s="52"/>
      <c r="AP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52"/>
      <c r="AJ225" s="52"/>
      <c r="AK225" s="52"/>
      <c r="AL225" s="52"/>
      <c r="AM225" s="52"/>
      <c r="AN225" s="52"/>
      <c r="AO225" s="52"/>
      <c r="AP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52"/>
      <c r="AJ226" s="52"/>
      <c r="AK226" s="52"/>
      <c r="AL226" s="52"/>
      <c r="AM226" s="52"/>
      <c r="AN226" s="52"/>
      <c r="AO226" s="52"/>
      <c r="AP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52"/>
      <c r="AJ227" s="52"/>
      <c r="AK227" s="52"/>
      <c r="AL227" s="52"/>
      <c r="AM227" s="52"/>
      <c r="AN227" s="52"/>
      <c r="AO227" s="52"/>
      <c r="AP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52"/>
      <c r="AJ228" s="52"/>
      <c r="AK228" s="52"/>
      <c r="AL228" s="52"/>
      <c r="AM228" s="52"/>
      <c r="AN228" s="52"/>
      <c r="AO228" s="52"/>
      <c r="AP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52"/>
      <c r="AJ229" s="52"/>
      <c r="AK229" s="52"/>
      <c r="AL229" s="52"/>
      <c r="AM229" s="52"/>
      <c r="AN229" s="52"/>
      <c r="AO229" s="52"/>
      <c r="AP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52"/>
      <c r="AJ230" s="52"/>
      <c r="AK230" s="52"/>
      <c r="AL230" s="52"/>
      <c r="AM230" s="52"/>
      <c r="AN230" s="52"/>
      <c r="AO230" s="52"/>
      <c r="AP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52"/>
      <c r="AJ231" s="52"/>
      <c r="AK231" s="52"/>
      <c r="AL231" s="52"/>
      <c r="AM231" s="52"/>
      <c r="AN231" s="52"/>
      <c r="AO231" s="52"/>
      <c r="AP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  <c r="AK232" s="52"/>
      <c r="AL232" s="52"/>
      <c r="AM232" s="52"/>
      <c r="AN232" s="52"/>
      <c r="AO232" s="52"/>
      <c r="AP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52"/>
      <c r="AK233" s="52"/>
      <c r="AL233" s="52"/>
      <c r="AM233" s="52"/>
      <c r="AN233" s="52"/>
      <c r="AO233" s="52"/>
      <c r="AP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O234" s="52"/>
      <c r="AP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52"/>
      <c r="AJ235" s="52"/>
      <c r="AK235" s="52"/>
      <c r="AL235" s="52"/>
      <c r="AM235" s="52"/>
      <c r="AN235" s="52"/>
      <c r="AO235" s="52"/>
      <c r="AP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52"/>
      <c r="AJ236" s="52"/>
      <c r="AK236" s="52"/>
      <c r="AL236" s="52"/>
      <c r="AM236" s="52"/>
      <c r="AN236" s="52"/>
      <c r="AO236" s="52"/>
      <c r="AP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52"/>
      <c r="AJ237" s="52"/>
      <c r="AK237" s="52"/>
      <c r="AL237" s="52"/>
      <c r="AM237" s="52"/>
      <c r="AN237" s="52"/>
      <c r="AO237" s="52"/>
      <c r="AP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52"/>
      <c r="AJ238" s="52"/>
      <c r="AK238" s="52"/>
      <c r="AL238" s="52"/>
      <c r="AM238" s="52"/>
      <c r="AN238" s="52"/>
      <c r="AO238" s="52"/>
      <c r="AP238" s="52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AP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44.0"/>
    <col customWidth="1" min="3" max="3" width="8.29"/>
    <col customWidth="1" min="4" max="4" width="9.0"/>
    <col customWidth="1" min="5" max="5" width="18.57"/>
    <col customWidth="1" min="6" max="6" width="74.43"/>
  </cols>
  <sheetData>
    <row r="1" ht="27.75" customHeight="1">
      <c r="A1" s="1"/>
      <c r="B1" s="6" t="s">
        <v>166</v>
      </c>
      <c r="C1" s="3"/>
      <c r="D1" s="3"/>
      <c r="E1" s="3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78" t="str">
        <f>IF('Вводные'!C5=1,"Сценарий: Оптимистичный",IF('Вводные'!C5=2,"Сценарий: Реалистичный","Сценарий: Пессимистичный"))</f>
        <v>Сценарий: Реалистичный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1"/>
      <c r="B4" s="32" t="s">
        <v>167</v>
      </c>
      <c r="C4" s="32" t="s">
        <v>168</v>
      </c>
      <c r="D4" s="32" t="s">
        <v>169</v>
      </c>
      <c r="E4" s="32" t="s">
        <v>170</v>
      </c>
      <c r="F4" s="32" t="s">
        <v>171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0" customHeight="1">
      <c r="A5" s="1"/>
      <c r="B5" s="6" t="s">
        <v>172</v>
      </c>
      <c r="C5" s="3"/>
      <c r="D5" s="4"/>
      <c r="E5" s="79">
        <v>550.0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7" t="s">
        <v>173</v>
      </c>
      <c r="C6" s="22" t="s">
        <v>174</v>
      </c>
      <c r="D6" s="22">
        <v>1.0</v>
      </c>
      <c r="E6" s="80">
        <v>550.0</v>
      </c>
      <c r="F6" s="9" t="s">
        <v>175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0" customHeight="1">
      <c r="A7" s="1"/>
      <c r="B7" s="6" t="s">
        <v>176</v>
      </c>
      <c r="C7" s="3"/>
      <c r="D7" s="4"/>
      <c r="E7" s="79">
        <v>0.0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7" t="s">
        <v>177</v>
      </c>
      <c r="C8" s="22" t="s">
        <v>178</v>
      </c>
      <c r="D8" s="22">
        <v>1.0</v>
      </c>
      <c r="E8" s="80">
        <v>0.0</v>
      </c>
      <c r="F8" s="9" t="s">
        <v>179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0" customHeight="1">
      <c r="A9" s="1"/>
      <c r="B9" s="6" t="s">
        <v>180</v>
      </c>
      <c r="C9" s="3"/>
      <c r="D9" s="4"/>
      <c r="E9" s="79">
        <v>41658.0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7" t="s">
        <v>181</v>
      </c>
      <c r="C10" s="22" t="s">
        <v>174</v>
      </c>
      <c r="D10" s="22">
        <v>1.0</v>
      </c>
      <c r="E10" s="80">
        <v>35000.0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7" t="s">
        <v>76</v>
      </c>
      <c r="C11" s="22" t="s">
        <v>182</v>
      </c>
      <c r="D11" s="22">
        <v>1.0</v>
      </c>
      <c r="E11" s="80">
        <v>6658.0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" customHeight="1">
      <c r="A12" s="1"/>
      <c r="B12" s="6" t="s">
        <v>183</v>
      </c>
      <c r="C12" s="3"/>
      <c r="D12" s="4"/>
      <c r="E12" s="79">
        <v>270000.0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7" t="s">
        <v>184</v>
      </c>
      <c r="C13" s="22" t="s">
        <v>182</v>
      </c>
      <c r="D13" s="22">
        <v>1.0</v>
      </c>
      <c r="E13" s="80">
        <v>220000.0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7" t="s">
        <v>185</v>
      </c>
      <c r="C14" s="22" t="s">
        <v>182</v>
      </c>
      <c r="D14" s="22">
        <v>1.0</v>
      </c>
      <c r="E14" s="80">
        <v>50000.0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0" customHeight="1">
      <c r="A15" s="1"/>
      <c r="B15" s="6" t="s">
        <v>186</v>
      </c>
      <c r="C15" s="3"/>
      <c r="D15" s="4"/>
      <c r="E15" s="79">
        <v>1525500.0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7" t="s">
        <v>187</v>
      </c>
      <c r="C16" s="22" t="s">
        <v>188</v>
      </c>
      <c r="D16" s="22">
        <v>100.0</v>
      </c>
      <c r="E16" s="80">
        <v>200000.0</v>
      </c>
      <c r="F16" s="9" t="s">
        <v>189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7" t="s">
        <v>190</v>
      </c>
      <c r="C17" s="22" t="s">
        <v>188</v>
      </c>
      <c r="D17" s="22">
        <v>100.0</v>
      </c>
      <c r="E17" s="80">
        <v>900000.0</v>
      </c>
      <c r="F17" s="9" t="s">
        <v>191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7" t="s">
        <v>192</v>
      </c>
      <c r="C18" s="22" t="s">
        <v>178</v>
      </c>
      <c r="D18" s="22">
        <v>1.0</v>
      </c>
      <c r="E18" s="80">
        <v>150000.0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7" t="s">
        <v>193</v>
      </c>
      <c r="C19" s="22" t="s">
        <v>174</v>
      </c>
      <c r="D19" s="22">
        <v>1.0</v>
      </c>
      <c r="E19" s="80">
        <v>15000.0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7" t="s">
        <v>194</v>
      </c>
      <c r="C20" s="22" t="s">
        <v>178</v>
      </c>
      <c r="D20" s="22">
        <v>1.0</v>
      </c>
      <c r="E20" s="80">
        <v>5000.0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7" t="s">
        <v>195</v>
      </c>
      <c r="C21" s="22" t="s">
        <v>178</v>
      </c>
      <c r="D21" s="22">
        <v>1.0</v>
      </c>
      <c r="E21" s="80">
        <v>3500.0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7" t="s">
        <v>196</v>
      </c>
      <c r="C22" s="22" t="s">
        <v>178</v>
      </c>
      <c r="D22" s="22">
        <v>1.0</v>
      </c>
      <c r="E22" s="80">
        <v>2000.0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7" t="s">
        <v>197</v>
      </c>
      <c r="C23" s="22" t="s">
        <v>178</v>
      </c>
      <c r="D23" s="22">
        <v>1.0</v>
      </c>
      <c r="E23" s="80">
        <v>200000.0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7" t="s">
        <v>198</v>
      </c>
      <c r="C24" s="22" t="s">
        <v>174</v>
      </c>
      <c r="D24" s="22">
        <v>1.0</v>
      </c>
      <c r="E24" s="80">
        <v>50000.0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0" customHeight="1">
      <c r="A25" s="1"/>
      <c r="B25" s="6" t="s">
        <v>199</v>
      </c>
      <c r="C25" s="3"/>
      <c r="D25" s="4"/>
      <c r="E25" s="79">
        <v>436000.0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7" t="s">
        <v>200</v>
      </c>
      <c r="C26" s="22" t="s">
        <v>174</v>
      </c>
      <c r="D26" s="22">
        <v>20.0</v>
      </c>
      <c r="E26" s="80">
        <v>120000.0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7" t="s">
        <v>201</v>
      </c>
      <c r="C27" s="22" t="s">
        <v>174</v>
      </c>
      <c r="D27" s="22">
        <v>15.0</v>
      </c>
      <c r="E27" s="80">
        <v>150000.0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7" t="s">
        <v>202</v>
      </c>
      <c r="C28" s="22" t="s">
        <v>174</v>
      </c>
      <c r="D28" s="22">
        <v>1.0</v>
      </c>
      <c r="E28" s="80">
        <v>70000.0</v>
      </c>
      <c r="F28" s="9" t="s">
        <v>203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7" t="s">
        <v>204</v>
      </c>
      <c r="C29" s="22" t="s">
        <v>174</v>
      </c>
      <c r="D29" s="22">
        <v>8.0</v>
      </c>
      <c r="E29" s="80">
        <v>96000.0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" customHeight="1">
      <c r="A30" s="1"/>
      <c r="B30" s="6" t="s">
        <v>205</v>
      </c>
      <c r="C30" s="3"/>
      <c r="D30" s="4"/>
      <c r="E30" s="79">
        <v>1037013.0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7" t="s">
        <v>206</v>
      </c>
      <c r="C31" s="22" t="s">
        <v>178</v>
      </c>
      <c r="D31" s="22">
        <v>1.0</v>
      </c>
      <c r="E31" s="80">
        <v>1037013.0</v>
      </c>
      <c r="F31" s="9" t="s">
        <v>207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" customHeight="1">
      <c r="A32" s="1"/>
      <c r="B32" s="6" t="s">
        <v>208</v>
      </c>
      <c r="C32" s="3"/>
      <c r="D32" s="4"/>
      <c r="E32" s="79">
        <v>51930.0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7" t="s">
        <v>209</v>
      </c>
      <c r="C33" s="22" t="s">
        <v>178</v>
      </c>
      <c r="D33" s="22">
        <v>1.0</v>
      </c>
      <c r="E33" s="80">
        <v>51930.0</v>
      </c>
      <c r="F33" s="9" t="s">
        <v>210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0" customHeight="1">
      <c r="A34" s="1"/>
      <c r="B34" s="6" t="s">
        <v>211</v>
      </c>
      <c r="C34" s="3"/>
      <c r="D34" s="4"/>
      <c r="E34" s="79">
        <v>61010.0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7" t="s">
        <v>212</v>
      </c>
      <c r="C35" s="22" t="s">
        <v>178</v>
      </c>
      <c r="D35" s="22">
        <v>1.0</v>
      </c>
      <c r="E35" s="80">
        <v>52540.0</v>
      </c>
      <c r="F35" s="9" t="s">
        <v>213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7" t="s">
        <v>214</v>
      </c>
      <c r="C36" s="22" t="s">
        <v>178</v>
      </c>
      <c r="D36" s="22">
        <v>1.0</v>
      </c>
      <c r="E36" s="80">
        <v>9470.0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0" customHeight="1">
      <c r="A37" s="1"/>
      <c r="B37" s="6" t="s">
        <v>215</v>
      </c>
      <c r="C37" s="3"/>
      <c r="D37" s="4"/>
      <c r="E37" s="79">
        <v>578950.0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7" t="s">
        <v>216</v>
      </c>
      <c r="C38" s="22" t="s">
        <v>178</v>
      </c>
      <c r="D38" s="22">
        <v>1.0</v>
      </c>
      <c r="E38" s="80">
        <v>578950.0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0" customHeight="1">
      <c r="A39" s="1"/>
      <c r="B39" s="6" t="s">
        <v>217</v>
      </c>
      <c r="C39" s="3"/>
      <c r="D39" s="4"/>
      <c r="E39" s="79">
        <v>100000.0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7" t="s">
        <v>218</v>
      </c>
      <c r="C40" s="22" t="s">
        <v>178</v>
      </c>
      <c r="D40" s="22">
        <v>1.0</v>
      </c>
      <c r="E40" s="80">
        <v>100000.0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0" customHeight="1">
      <c r="A41" s="1"/>
      <c r="B41" s="6" t="s">
        <v>219</v>
      </c>
      <c r="C41" s="3"/>
      <c r="D41" s="4"/>
      <c r="E41" s="79">
        <v>20000.0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7" t="s">
        <v>220</v>
      </c>
      <c r="C42" s="22" t="s">
        <v>178</v>
      </c>
      <c r="D42" s="22">
        <v>1.0</v>
      </c>
      <c r="E42" s="80">
        <v>20000.0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0" customHeight="1">
      <c r="A43" s="1"/>
      <c r="B43" s="81" t="s">
        <v>221</v>
      </c>
      <c r="C43" s="3"/>
      <c r="D43" s="4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7" t="s">
        <v>222</v>
      </c>
      <c r="C44" s="22" t="s">
        <v>178</v>
      </c>
      <c r="D44" s="22">
        <v>1.0</v>
      </c>
      <c r="E44" s="82">
        <f>CHOOSE('Вводные'!$C$5,1037400,518700,259350)</f>
        <v>518700</v>
      </c>
      <c r="F44" s="9" t="s">
        <v>223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5.5" customHeight="1">
      <c r="A46" s="1"/>
      <c r="B46" s="39" t="s">
        <v>92</v>
      </c>
      <c r="C46" s="3"/>
      <c r="D46" s="4"/>
      <c r="E46" s="79">
        <f>CHOOSE('Вводные'!$C$5,5161011,4642311,4382961)</f>
        <v>4642311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5" t="s">
        <v>224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1:F1"/>
    <mergeCell ref="B2:D2"/>
    <mergeCell ref="B5:D5"/>
    <mergeCell ref="B7:D7"/>
    <mergeCell ref="B9:D9"/>
    <mergeCell ref="B12:D12"/>
    <mergeCell ref="B15:D15"/>
    <mergeCell ref="B43:D43"/>
    <mergeCell ref="B46:D46"/>
    <mergeCell ref="B47:F47"/>
    <mergeCell ref="B25:D25"/>
    <mergeCell ref="B30:D30"/>
    <mergeCell ref="B32:D32"/>
    <mergeCell ref="B34:D34"/>
    <mergeCell ref="B37:D37"/>
    <mergeCell ref="B39:D39"/>
    <mergeCell ref="B41:D4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2026-04-06T18:30:22Z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