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лькулятор инвестора" sheetId="1" state="visible" r:id="rId3"/>
    <sheet name="Дашборд" sheetId="2" state="visible" r:id="rId4"/>
    <sheet name="Допущения" sheetId="3" state="visible" r:id="rId5"/>
    <sheet name="CAPEX" sheetId="4" state="visible" r:id="rId6"/>
    <sheet name="Юнит-экономика" sheetId="5" state="visible" r:id="rId7"/>
    <sheet name="P&amp;L 36 мес" sheetId="6" state="visible" r:id="rId8"/>
    <sheet name="Сценарии" sheetId="7" state="visible" r:id="rId9"/>
    <sheet name="Инвестор" sheetId="8" state="visible" r:id="rId10"/>
    <sheet name="Оценка" sheetId="9" state="visible" r:id="rId11"/>
    <sheet name="Проверка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<sst xmlns="http://schemas.openxmlformats.org/spreadsheetml/2006/main" count="541" uniqueCount="364">
  <si>
    <t xml:space="preserve">LUCE SILVA — КАЛЬКУЛЯТОР ДОХОДНОСТИ ИНВЕСТОРА</t>
  </si>
  <si>
    <t xml:space="preserve">Введите сумму — и увидите свой доход в 2027, 2028, 2029 году и стоимость доли при продаже</t>
  </si>
  <si>
    <t xml:space="preserve">ВАШ ВКЛАД В ПРОЕКТ</t>
  </si>
  <si>
    <t xml:space="preserve">МИН (80 свадеб)</t>
  </si>
  <si>
    <t xml:space="preserve">БАЗОВЫЙ (100)</t>
  </si>
  <si>
    <t xml:space="preserve">МАКС (150)</t>
  </si>
  <si>
    <t xml:space="preserve">💰  Ваша сумма инвестиций</t>
  </si>
  <si>
    <t xml:space="preserve">← МЕНЯЙТЕ ЭТУ ЯЧЕЙКУ</t>
  </si>
  <si>
    <t xml:space="preserve">Ваша доля в проекте</t>
  </si>
  <si>
    <t xml:space="preserve">Ваша доля в пуле инвесторов (от 66 млн ₽)</t>
  </si>
  <si>
    <t xml:space="preserve">Минимальный чек входа в раунд</t>
  </si>
  <si>
    <t xml:space="preserve">ПОКАЗАТЕЛЬ</t>
  </si>
  <si>
    <t xml:space="preserve">📉 МИНИМАЛЬНЫЙ
80 свадеб</t>
  </si>
  <si>
    <t xml:space="preserve">📊 БАЗОВЫЙ
100 свадеб</t>
  </si>
  <si>
    <t xml:space="preserve">📈 МАКСИМАЛЬНЫЙ
120 свадеб</t>
  </si>
  <si>
    <t xml:space="preserve">ДИВИДЕНДНЫЙ ДОХОД ПО ГОДАМ — ВАШ ЛИЧНЫЙ РАСЧЁТ</t>
  </si>
  <si>
    <t xml:space="preserve">📅  2027 год — первый сезон (май–октябрь)</t>
  </si>
  <si>
    <t xml:space="preserve">Механика: 80% прибыли</t>
  </si>
  <si>
    <t xml:space="preserve">    Прибыль проекта за сезон</t>
  </si>
  <si>
    <t xml:space="preserve">    Пул дивидендов (80% → все инвесторы)</t>
  </si>
  <si>
    <t xml:space="preserve">💵  Ваш доход в 2029 году</t>
  </si>
  <si>
    <t xml:space="preserve">    Доходность за год</t>
  </si>
  <si>
    <t xml:space="preserve">📅  2028 год — второй сезон (май–октябрь)</t>
  </si>
  <si>
    <t xml:space="preserve">80% (ещё в возврате)</t>
  </si>
  <si>
    <t xml:space="preserve">80%→49% (переход)</t>
  </si>
  <si>
    <t xml:space="preserve">49% (возврат завершён)</t>
  </si>
  <si>
    <t xml:space="preserve">💵  Ваш доход в 2027 году</t>
  </si>
  <si>
    <t xml:space="preserve">📅  2029 год — третий сезон (май–октябрь)</t>
  </si>
  <si>
    <t xml:space="preserve">80%/49% (переход)</t>
  </si>
  <si>
    <t xml:space="preserve">49% (стабильно)</t>
  </si>
  <si>
    <t xml:space="preserve">💵  Ваш доход в 2028 году</t>
  </si>
  <si>
    <t xml:space="preserve">ИТОГО ДИВИДЕНДОВ 2027–2029</t>
  </si>
  <si>
    <t xml:space="preserve">СТОИМОСТЬ ВАШЕЙ ДОЛИ ПРИ ПРОДАЖЕ (оценка: прибыль × 3×)</t>
  </si>
  <si>
    <t xml:space="preserve">    Годовая прибыль проекта (1 сезон)</t>
  </si>
  <si>
    <t xml:space="preserve">    Оценка компании (прибыль × 3×)</t>
  </si>
  <si>
    <t xml:space="preserve">    Стоимость доли всех инвесторов (49%)</t>
  </si>
  <si>
    <t xml:space="preserve">📈  Стоимость ВАШИХ акций при продаже</t>
  </si>
  <si>
    <t xml:space="preserve">    Прирост стоимости (сверх вложений)</t>
  </si>
  <si>
    <t xml:space="preserve">ИТОГОВЫЙ РАСЧЁТ — СУММАРНЫЙ ДОХОД ЗА 3 ГОДА</t>
  </si>
  <si>
    <t xml:space="preserve">Дивиденды за 2027–2029 годы</t>
  </si>
  <si>
    <t xml:space="preserve">Стоимость ваших акций (продажа)</t>
  </si>
  <si>
    <t xml:space="preserve">🏆  TOTAL RETURN — суммарный доход</t>
  </si>
  <si>
    <t xml:space="preserve">Кратность к вложению (×)</t>
  </si>
  <si>
    <t xml:space="preserve">Вложено</t>
  </si>
  <si>
    <t xml:space="preserve">Чистый доход (total return − вложения)</t>
  </si>
  <si>
    <t xml:space="preserve">ℹ️  Механика расчёта:  до полного возврата 66 млн ₽ всем инвесторам направляется 80% прибыли проекта, пропорционально долям вкладов. После полного возврата — 49% прибыли (совокупная доля инвесторов). Стоимость доли при продаже = прибыль × мультипликатор 3× × доля 49% × ваша пропорция. Все цифры рассчитываются автоматически на основе суммы в ячейке C5.</t>
  </si>
  <si>
    <t xml:space="preserve">LUCE SILVA — ИНВЕСТИЦИОННАЯ ФИНАНСОВАЯ МОДЕЛЬ</t>
  </si>
  <si>
    <t xml:space="preserve">Премиальная стеклянная оранжерея для свадеб | Москва и МО | 2027+</t>
  </si>
  <si>
    <t xml:space="preserve">Сценарий переключается на листе «Допущения» → ячейка C12  (1=Мин / 2=Базовый / 3=Макс)</t>
  </si>
  <si>
    <t xml:space="preserve">ПАРАМЕТРЫ ИНВЕСТИЦИЙ</t>
  </si>
  <si>
    <t xml:space="preserve">АКТИВНЫЙ СЦЕНАРИЙ</t>
  </si>
  <si>
    <t xml:space="preserve">Объём раунда</t>
  </si>
  <si>
    <t xml:space="preserve">Сценарий (1/2/3)</t>
  </si>
  <si>
    <t xml:space="preserve">Доля инвестора</t>
  </si>
  <si>
    <t xml:space="preserve">Свадеб в сезон</t>
  </si>
  <si>
    <t xml:space="preserve">Дивиденды до окупаемости</t>
  </si>
  <si>
    <t xml:space="preserve">Прибыль за сезон (млн ₽)</t>
  </si>
  <si>
    <t xml:space="preserve">Мультипликатор оценки</t>
  </si>
  <si>
    <t xml:space="preserve">Инвестору (70%), млн ₽</t>
  </si>
  <si>
    <t xml:space="preserve">ЮНИТ-ЭКОНОМИКА ОДНОЙ СВАДЬБЫ</t>
  </si>
  <si>
    <t xml:space="preserve">CAPEX (66 МЛН ₽)</t>
  </si>
  <si>
    <t xml:space="preserve">Средний чек</t>
  </si>
  <si>
    <t xml:space="preserve">Аренда земли</t>
  </si>
  <si>
    <t xml:space="preserve">  Аренда площадки</t>
  </si>
  <si>
    <t xml:space="preserve">Конструкция</t>
  </si>
  <si>
    <t xml:space="preserve">  Кейтеринг</t>
  </si>
  <si>
    <t xml:space="preserve">Инженерия</t>
  </si>
  <si>
    <t xml:space="preserve">  Техника</t>
  </si>
  <si>
    <t xml:space="preserve">Кухня</t>
  </si>
  <si>
    <t xml:space="preserve">COGS</t>
  </si>
  <si>
    <t xml:space="preserve">Благоустройство</t>
  </si>
  <si>
    <t xml:space="preserve">Прибыль/свадьбу</t>
  </si>
  <si>
    <t xml:space="preserve">Домик / хозблок</t>
  </si>
  <si>
    <t xml:space="preserve">Маржинальность</t>
  </si>
  <si>
    <t xml:space="preserve">Маркетинг и запуск</t>
  </si>
  <si>
    <t xml:space="preserve">ИТОГО CAPEX</t>
  </si>
  <si>
    <t xml:space="preserve">СРАВНЕНИЕ СЦЕНАРИЕВ</t>
  </si>
  <si>
    <t xml:space="preserve">Показатель</t>
  </si>
  <si>
    <t xml:space="preserve">МИН (75)</t>
  </si>
  <si>
    <t xml:space="preserve">Прибыль сезон (млн)</t>
  </si>
  <si>
    <t xml:space="preserve">Инвестору 70% (млн)</t>
  </si>
  <si>
    <t xml:space="preserve">Доходность годовых</t>
  </si>
  <si>
    <t xml:space="preserve">Окупаемость (сезонов)</t>
  </si>
  <si>
    <t xml:space="preserve">Оценка компании (млн)</t>
  </si>
  <si>
    <t xml:space="preserve">Доля 49% (млн)</t>
  </si>
  <si>
    <t xml:space="preserve">Total Return 3 сезона (млн)</t>
  </si>
  <si>
    <t xml:space="preserve">Кратность к вложениям</t>
  </si>
  <si>
    <t xml:space="preserve">УСЛОВНЫЕ ОБОЗНАЧЕНИЯ</t>
  </si>
  <si>
    <t xml:space="preserve">■■■■■</t>
  </si>
  <si>
    <t xml:space="preserve">Синий + голубой фон = исходные данные</t>
  </si>
  <si>
    <t xml:space="preserve">Жёлтый фон = допущение аналитика (можно корректировать)</t>
  </si>
  <si>
    <t xml:space="preserve">Зелёный текст = ссылка на другой лист</t>
  </si>
  <si>
    <t xml:space="preserve">Чёрный текст = расчётная формула</t>
  </si>
  <si>
    <t xml:space="preserve">ДОПУЩЕНИЯ И ВВОДНЫЕ — LUCE SILVA</t>
  </si>
  <si>
    <t xml:space="preserve">🔵 Синий  |  🟡 Жёлтый фон (допущение аналитика)  |  Ячейка C12 — переключатель сценария</t>
  </si>
  <si>
    <t xml:space="preserve">Значение</t>
  </si>
  <si>
    <t xml:space="preserve">Комментарий</t>
  </si>
  <si>
    <t xml:space="preserve">1. ИНВЕСТИЦИОННЫЕ ПАРАМЕТРЫ</t>
  </si>
  <si>
    <t xml:space="preserve">Объём инвестиционного раунда</t>
  </si>
  <si>
    <t xml:space="preserve">Доля инвестора в компании</t>
  </si>
  <si>
    <t xml:space="preserve">Дивиденды до окупаемости (% прибыли)</t>
  </si>
  <si>
    <t xml:space="preserve">Повышенная ставка до возврата</t>
  </si>
  <si>
    <t xml:space="preserve">Минимальный чек входа</t>
  </si>
  <si>
    <t xml:space="preserve">Мультипликатор оценки (x прибыли)</t>
  </si>
  <si>
    <t xml:space="preserve">2. ВЫБОР СЦЕНАРИЯ</t>
  </si>
  <si>
    <t xml:space="preserve">Активный сценарий (1=Мин / 2=Базовый / 3=Макс)</t>
  </si>
  <si>
    <t xml:space="preserve">← МЕНЯЙТЕ ЗДЕСЬ для переключения сценария</t>
  </si>
  <si>
    <t xml:space="preserve">Свадеб в сезон (активный сценарий)</t>
  </si>
  <si>
    <t xml:space="preserve">Автоматически по выбранному сценарию</t>
  </si>
  <si>
    <t xml:space="preserve">3. СЦЕНАРИИ (свадеб в сезон,</t>
  </si>
  <si>
    <t xml:space="preserve">Минимальный сценарий</t>
  </si>
  <si>
    <t xml:space="preserve">→ прибыль ~52,7 млн ₽</t>
  </si>
  <si>
    <t xml:space="preserve">Базовый сценарий</t>
  </si>
  <si>
    <t xml:space="preserve">→ прибыль 50 млн ₽</t>
  </si>
  <si>
    <t xml:space="preserve">Максимальный сценарий</t>
  </si>
  <si>
    <t xml:space="preserve">→ прибыль ~79,1 млн ₽</t>
  </si>
  <si>
    <t xml:space="preserve">4. ЮНИТ-ЭКОНОМИКА ОДНОЙ СВАДЬБЫ</t>
  </si>
  <si>
    <t xml:space="preserve">Средний чек (аренда + кейтеринг + техника)</t>
  </si>
  <si>
    <t xml:space="preserve">Автоматически: C22+C23+C24</t>
  </si>
  <si>
    <t xml:space="preserve">  — Аренда площадки</t>
  </si>
  <si>
    <t xml:space="preserve">Средняя, июнь–сентябрь</t>
  </si>
  <si>
    <t xml:space="preserve">  — Кейтеринг + сервисный сбор 15%</t>
  </si>
  <si>
    <t xml:space="preserve">70 гостей: 525К + 15% сервисный сбор</t>
  </si>
  <si>
    <t xml:space="preserve">  — Техника (свет, звук)</t>
  </si>
  <si>
    <t xml:space="preserve">Переменная себестоимость (COGS)</t>
  </si>
  <si>
    <t xml:space="preserve">Продукты, персонал, логистика, налоги</t>
  </si>
  <si>
    <t xml:space="preserve">Прибыль с одной свадьбы</t>
  </si>
  <si>
    <t xml:space="preserve"> Выручка − COGS</t>
  </si>
  <si>
    <t xml:space="preserve"> Прибыль / Выручка</t>
  </si>
  <si>
    <t xml:space="preserve">5. СЕЗОННОСТЬ — ДОЛЯ СВАДЕБ ПО МЕСЯЦАМ</t>
  </si>
  <si>
    <t xml:space="preserve">Сезон май–октябрь. Помесячное распределение — допущение аналитика.</t>
  </si>
  <si>
    <t xml:space="preserve">Январь</t>
  </si>
  <si>
    <t xml:space="preserve">Вне сезона</t>
  </si>
  <si>
    <t xml:space="preserve">Февраль</t>
  </si>
  <si>
    <t xml:space="preserve">Март</t>
  </si>
  <si>
    <t xml:space="preserve">Апрель</t>
  </si>
  <si>
    <t xml:space="preserve">Май</t>
  </si>
  <si>
    <t xml:space="preserve">[ASSUMPTION] типичный профиль свадебного сезона</t>
  </si>
  <si>
    <t xml:space="preserve">Июнь</t>
  </si>
  <si>
    <t xml:space="preserve">Июль</t>
  </si>
  <si>
    <t xml:space="preserve">Август</t>
  </si>
  <si>
    <t xml:space="preserve">Сентябрь</t>
  </si>
  <si>
    <t xml:space="preserve">Октябрь</t>
  </si>
  <si>
    <t xml:space="preserve">Ноябрь</t>
  </si>
  <si>
    <t xml:space="preserve">Декабрь</t>
  </si>
  <si>
    <t xml:space="preserve">ИТОГО (должно = 100%)</t>
  </si>
  <si>
    <t xml:space="preserve">Контроль: если ≠ 100%, пересмотрите распределение</t>
  </si>
  <si>
    <t xml:space="preserve">6. ОПЕРАЦИОННЫЕ ДОПУЩЕНИЯ АНАЛИТИКА [НЕ</t>
  </si>
  <si>
    <t xml:space="preserve">Параметры ниже отсутствуют в презентации. Помечены [ASSUMPTION]. Можно корректировать.</t>
  </si>
  <si>
    <t xml:space="preserve">Год 1: исполнение плана (рамп-ап)</t>
  </si>
  <si>
    <t xml:space="preserve">[ASSUMPTION] 80% в первый сезон</t>
  </si>
  <si>
    <t xml:space="preserve">Год 2: исполнение плана</t>
  </si>
  <si>
    <t xml:space="preserve">[ASSUMPTION] 90% во второй сезон</t>
  </si>
  <si>
    <t xml:space="preserve">Год 3: исполнение плана</t>
  </si>
  <si>
    <t xml:space="preserve">[ASSUMPTION] 100% (стабильный режим)</t>
  </si>
  <si>
    <t xml:space="preserve">Рост среднего чека год к году</t>
  </si>
  <si>
    <t xml:space="preserve">[ASSUMPTION] инфляция + апселл</t>
  </si>
  <si>
    <t xml:space="preserve">Фикс. расходы: вне сезона (мес.)</t>
  </si>
  <si>
    <t xml:space="preserve">[ASSUMPTION] охрана, коммуналка, адм.</t>
  </si>
  <si>
    <t xml:space="preserve">Фикс. расходы: в сезон, доп. (мес.)</t>
  </si>
  <si>
    <t xml:space="preserve">[ASSUMPTION] управленческие сверх COGS</t>
  </si>
  <si>
    <t xml:space="preserve">Аренда земли в год (5 млн / 10 лет)</t>
  </si>
  <si>
    <t xml:space="preserve">[ASSUMPTION] = C5_CAPEX_land / 10</t>
  </si>
  <si>
    <t xml:space="preserve">Амортизация CAPEX в год (÷7 лет)</t>
  </si>
  <si>
    <t xml:space="preserve">[ASSUMPTION] = 66 000 000 / 7</t>
  </si>
  <si>
    <t xml:space="preserve">CAPEX — ИНВЕСТИЦИОННЫЙ БЮДЖЕТ</t>
  </si>
  <si>
    <t xml:space="preserve">СТАТЬЯ CAPEX</t>
  </si>
  <si>
    <t xml:space="preserve">СУММА, ₽</t>
  </si>
  <si>
    <t xml:space="preserve">ДОЛЯ</t>
  </si>
  <si>
    <t xml:space="preserve">КОММЕНТАРИЙ</t>
  </si>
  <si>
    <t xml:space="preserve">Аренда земли (10 лет, 1 га)</t>
  </si>
  <si>
    <t xml:space="preserve">Предоплата за 10-летний договор</t>
  </si>
  <si>
    <t xml:space="preserve">Конструкция (стеклянная оранжерея)</t>
  </si>
  <si>
    <t xml:space="preserve">Каркас, стекло, фундамент, кровля</t>
  </si>
  <si>
    <t xml:space="preserve">Инженерные системы</t>
  </si>
  <si>
    <t xml:space="preserve">Электрика, тепло, вентиляция, водоснабжение</t>
  </si>
  <si>
    <t xml:space="preserve">Кухонное оборудование</t>
  </si>
  <si>
    <t xml:space="preserve">Профессиональная кухня — собственный кейтеринг</t>
  </si>
  <si>
    <t xml:space="preserve">Благоустройство территории</t>
  </si>
  <si>
    <t xml:space="preserve">Настил, освещение, ландшафт, парковка</t>
  </si>
  <si>
    <t xml:space="preserve">Гостевой домик: 15 тыс ₽/сутки — доп. доход</t>
  </si>
  <si>
    <t xml:space="preserve">Бренд, съёмки, SMM, открытие</t>
  </si>
  <si>
    <t xml:space="preserve">ПРОВЕРКА: сумма должна = 66 000 000 ₽</t>
  </si>
  <si>
    <t xml:space="preserve">Итого CAPEX</t>
  </si>
  <si>
    <t xml:space="preserve">Целевой раунд</t>
  </si>
  <si>
    <t xml:space="preserve">Разница (должна быть 0)</t>
  </si>
  <si>
    <t xml:space="preserve">РАСПРЕДЕЛЕНИЕ ПО СТАТЬЯМ</t>
  </si>
  <si>
    <t xml:space="preserve">Строительство + инженерия</t>
  </si>
  <si>
    <t xml:space="preserve">Кухня + оборудование</t>
  </si>
  <si>
    <t xml:space="preserve">Благоустройство + домик</t>
  </si>
  <si>
    <t xml:space="preserve">Земля + маркетинг</t>
  </si>
  <si>
    <t xml:space="preserve">ЮНИТ-ЭКОНОМИКА — ОДНА СВАДЬБА</t>
  </si>
  <si>
    <t xml:space="preserve">ВЫРУЧКА С ОДНОЙ СВАДЬБЫ (Источник: презентация)</t>
  </si>
  <si>
    <t xml:space="preserve">СТАТЬЯ</t>
  </si>
  <si>
    <t xml:space="preserve">СУММА</t>
  </si>
  <si>
    <t xml:space="preserve">% ВЫРУЧКИ</t>
  </si>
  <si>
    <t xml:space="preserve">ИСТОЧНИК</t>
  </si>
  <si>
    <t xml:space="preserve">Аренда площадки</t>
  </si>
  <si>
    <t xml:space="preserve">Кейтеринг (собственная кухня)</t>
  </si>
  <si>
    <t xml:space="preserve">Техника (свет, звук)</t>
  </si>
  <si>
    <t xml:space="preserve">ИТОГО ВЫРУЧКА</t>
  </si>
  <si>
    <t xml:space="preserve">ПЕРЕМЕННЫЕ РАСХОДЫ (COGS) НА ОДНУ СВАДЬБУ</t>
  </si>
  <si>
    <t xml:space="preserve">ПРИМЕЧАНИЕ</t>
  </si>
  <si>
    <t xml:space="preserve">Продукты и напитки</t>
  </si>
  <si>
    <t xml:space="preserve">[ASSUMPTION] ~22% от выручки</t>
  </si>
  <si>
    <t xml:space="preserve">Персонал мероприятия</t>
  </si>
  <si>
    <t xml:space="preserve">[ASSUMPTION] повара, официанты</t>
  </si>
  <si>
    <t xml:space="preserve">Логистика и клининг</t>
  </si>
  <si>
    <t xml:space="preserve">[ASSUMPTION] доставка, уборка</t>
  </si>
  <si>
    <t xml:space="preserve">Охрана и коммунальные (event)</t>
  </si>
  <si>
    <t xml:space="preserve">[ASSUMPTION] переменная часть</t>
  </si>
  <si>
    <t xml:space="preserve">Налоги и прочее</t>
  </si>
  <si>
    <t xml:space="preserve">[ASSUMPTION] расчётная</t>
  </si>
  <si>
    <t xml:space="preserve">Итого по статьям (расчёт)</t>
  </si>
  <si>
    <t xml:space="preserve">ИТОГО COGS</t>
  </si>
  <si>
    <t xml:space="preserve">Разница (доп. COGS к распределению)</t>
  </si>
  <si>
    <t xml:space="preserve">P&amp;L ОДНОЙ СВАДЬБЫ</t>
  </si>
  <si>
    <t xml:space="preserve">МАРЖА</t>
  </si>
  <si>
    <t xml:space="preserve">Выручка (средний чек)</t>
  </si>
  <si>
    <t xml:space="preserve">Переменная себестоимость</t>
  </si>
  <si>
    <t xml:space="preserve">ОПЕРАЦИОННАЯ ПРИБЫЛЬ</t>
  </si>
  <si>
    <t xml:space="preserve">КОНТРОЛЬНЫЕ ЗНАЧЕНИЯ</t>
  </si>
  <si>
    <t xml:space="preserve">ПЛАН (презент.)</t>
  </si>
  <si>
    <t xml:space="preserve">МОДЕЛЬ</t>
  </si>
  <si>
    <t xml:space="preserve">СТАТУС</t>
  </si>
  <si>
    <t xml:space="preserve">Выручка</t>
  </si>
  <si>
    <t xml:space="preserve">Прибыль</t>
  </si>
  <si>
    <t xml:space="preserve">P&amp;L — ПОМЕСЯЧНАЯ ФИНАНСОВАЯ МОДЕЛЬ (36 МЕСЯЦЕВ)</t>
  </si>
  <si>
    <t xml:space="preserve">Год / Месяц</t>
  </si>
  <si>
    <t xml:space="preserve">2027</t>
  </si>
  <si>
    <t xml:space="preserve">2028</t>
  </si>
  <si>
    <t xml:space="preserve">2029</t>
  </si>
  <si>
    <t xml:space="preserve">2030</t>
  </si>
  <si>
    <t xml:space="preserve">Год 1
2027</t>
  </si>
  <si>
    <t xml:space="preserve">Год 2
2028</t>
  </si>
  <si>
    <t xml:space="preserve">Год 3
2029</t>
  </si>
  <si>
    <t xml:space="preserve">Июн</t>
  </si>
  <si>
    <t xml:space="preserve">Июл</t>
  </si>
  <si>
    <t xml:space="preserve">Авг</t>
  </si>
  <si>
    <t xml:space="preserve">Сен</t>
  </si>
  <si>
    <t xml:space="preserve">Окт</t>
  </si>
  <si>
    <t xml:space="preserve">Ноя</t>
  </si>
  <si>
    <t xml:space="preserve">Дек</t>
  </si>
  <si>
    <t xml:space="preserve">Янв</t>
  </si>
  <si>
    <t xml:space="preserve">Фев</t>
  </si>
  <si>
    <t xml:space="preserve">Мар</t>
  </si>
  <si>
    <t xml:space="preserve">Апр</t>
  </si>
  <si>
    <t xml:space="preserve">ВЫРУЧКА</t>
  </si>
  <si>
    <t xml:space="preserve">Количество свадеб</t>
  </si>
  <si>
    <t xml:space="preserve">0</t>
  </si>
  <si>
    <t xml:space="preserve">Выручка (₽)</t>
  </si>
  <si>
    <t xml:space="preserve">COGS переменные (₽)</t>
  </si>
  <si>
    <t xml:space="preserve">ВАЛОВАЯ ПРИБЫЛЬ (₽)</t>
  </si>
  <si>
    <t xml:space="preserve">Маржа валовой прибыли (%)</t>
  </si>
  <si>
    <t xml:space="preserve">ПОСТОЯННЫЕ РАСХОДЫ</t>
  </si>
  <si>
    <t xml:space="preserve">Фиксированные расходы (₽)</t>
  </si>
  <si>
    <t xml:space="preserve">EBITDA (₽)</t>
  </si>
  <si>
    <t xml:space="preserve">Амортизация (₽)</t>
  </si>
  <si>
    <t xml:space="preserve">EBIT / Чистая прибыль (₽)</t>
  </si>
  <si>
    <t xml:space="preserve">Дивиденды инвестору (70% от прибыли)</t>
  </si>
  <si>
    <t xml:space="preserve">Прибыль проекта (после инвестора)</t>
  </si>
  <si>
    <t xml:space="preserve">АНАЛИЗ СЦЕНАРИЕВ — LUCE SILVA</t>
  </si>
  <si>
    <t xml:space="preserve">БАЗОВЫЙ (100 свадеб)</t>
  </si>
  <si>
    <t xml:space="preserve">МАКС (120 свадеб)</t>
  </si>
  <si>
    <t xml:space="preserve">ОСНОВНАЯ СЕЗОННАЯ ЭКОНОМИКА (Источник: презентация)</t>
  </si>
  <si>
    <t xml:space="preserve">Выручка за сезон</t>
  </si>
  <si>
    <t xml:space="preserve">Переменные расходы за сезон</t>
  </si>
  <si>
    <t xml:space="preserve">ПРИБЫЛЬ ПРОЕКТА ЗА СЕЗОН</t>
  </si>
  <si>
    <t xml:space="preserve">Инвестору (70% до окупаемости)</t>
  </si>
  <si>
    <t xml:space="preserve">Доходность годовых (=инвестору/инвестиции)</t>
  </si>
  <si>
    <t xml:space="preserve">Окупаемость (кол-во сезонов)</t>
  </si>
  <si>
    <t xml:space="preserve">ОЦЕНКА КОМПАНИИ (мультипликатор 3x прибыли)</t>
  </si>
  <si>
    <t xml:space="preserve">Оценка компании (прибыль × 3x)</t>
  </si>
  <si>
    <t xml:space="preserve">Стоимость доли инвестора (49%)</t>
  </si>
  <si>
    <t xml:space="preserve">ПРЕЗЕНТАЦИОННЫЕ ОРИЕНТИРЫ ДЛЯ СВЕРКИ</t>
  </si>
  <si>
    <t xml:space="preserve">МИН</t>
  </si>
  <si>
    <t xml:space="preserve">БАЗОВЫЙ</t>
  </si>
  <si>
    <t xml:space="preserve">МАКС</t>
  </si>
  <si>
    <t xml:space="preserve">Прибыль сезон (млн) — план</t>
  </si>
  <si>
    <t xml:space="preserve">Инвестору 70% (млн) — план</t>
  </si>
  <si>
    <t xml:space="preserve">Доходность годовых — план</t>
  </si>
  <si>
    <t xml:space="preserve">Окупаемость (сезонов) — план</t>
  </si>
  <si>
    <t xml:space="preserve">Оценка (млн) — план</t>
  </si>
  <si>
    <t xml:space="preserve">Доля 49% (млн) — план</t>
  </si>
  <si>
    <t xml:space="preserve">СРАВНЕНИЕ МОДЕЛИ С ПЛАНОМ</t>
  </si>
  <si>
    <t xml:space="preserve">МИН ΔДЕЛЬТА</t>
  </si>
  <si>
    <t xml:space="preserve">БАЗ ΔДЕЛЬТА</t>
  </si>
  <si>
    <t xml:space="preserve">МАКС ΔДЕЛЬТА</t>
  </si>
  <si>
    <t xml:space="preserve">Прибыль сезон — отклонение (модель − план)</t>
  </si>
  <si>
    <t xml:space="preserve">Инвестору 70% — отклонение</t>
  </si>
  <si>
    <t xml:space="preserve">КАЛЬКУЛЯТОР ДОХОДНОСТИ ИНВЕСТОРА — LUCE SILVA</t>
  </si>
  <si>
    <t xml:space="preserve">🟡 Ячейки с жёлтым фоном — меняйте сами  |  Сценарий переключается в листе «Допущения» (ячейка C12)</t>
  </si>
  <si>
    <t xml:space="preserve">ПАРАМЕТРЫ ИНВЕСТОРА</t>
  </si>
  <si>
    <t xml:space="preserve">Ваша сумма инвестиций, ₽</t>
  </si>
  <si>
    <t xml:space="preserve">Введите свою сумму</t>
  </si>
  <si>
    <t xml:space="preserve">Ваша доля в компании (%)</t>
  </si>
  <si>
    <t xml:space="preserve"> ваши деньги / 66 млн × 49%</t>
  </si>
  <si>
    <t xml:space="preserve">ВАШИ ДИВИДЕНДЫ ПО СЦЕНАРИЯМ (ЗА 1 СЕЗОН)</t>
  </si>
  <si>
    <t xml:space="preserve">Прибыль проекта (млн ₽)</t>
  </si>
  <si>
    <t xml:space="preserve">Ваша доля в дивидендах (70%) — ваши ₽</t>
  </si>
  <si>
    <t xml:space="preserve">Доходность за 1 сезон</t>
  </si>
  <si>
    <t xml:space="preserve">ДИВИДЕНДНЫЙ ПОТОК — 3 СЕЗОНА</t>
  </si>
  <si>
    <t xml:space="preserve">СЕЗОН 1 — прибыль проекта (млн ₽)</t>
  </si>
  <si>
    <t xml:space="preserve">  Инвестору (70%)</t>
  </si>
  <si>
    <t xml:space="preserve">  Остаток долга к погашению</t>
  </si>
  <si>
    <t xml:space="preserve">СЕЗОН 2 — прибыль проекта (млн ₽)</t>
  </si>
  <si>
    <t xml:space="preserve">  Инвестору (70% если долг не погашен)</t>
  </si>
  <si>
    <t xml:space="preserve">СЕЗОН 3 — прибыль проекта (млн ₽)</t>
  </si>
  <si>
    <t xml:space="preserve">ИТОГО ДИВИДЕНДОВ ЗА 3 СЕЗОНА</t>
  </si>
  <si>
    <t xml:space="preserve">ОЦЕНКА И СОВОКУПНЫЙ ДОХОД ИНВЕСТОРА — LUCE SILVA</t>
  </si>
  <si>
    <t xml:space="preserve">РОСТ СТОИМОСТИ ДОЛИ (мультипликатор 3x прибыли)</t>
  </si>
  <si>
    <t xml:space="preserve">Прибыль проекта в сезон (млн ₽)</t>
  </si>
  <si>
    <t xml:space="preserve">Оценка компании (прибыль × 3x, млн ₽)</t>
  </si>
  <si>
    <t xml:space="preserve">Доля инвестора 49% (млн ₽)</t>
  </si>
  <si>
    <t xml:space="preserve">Начальные инвестиции (млн ₽)</t>
  </si>
  <si>
    <t xml:space="preserve">Прирост стоимости доли (млн ₽)</t>
  </si>
  <si>
    <t xml:space="preserve">СОВОКУПНЫЙ ДОХОД ИНВЕСТОРА ЗА 3 СЕЗОНА</t>
  </si>
  <si>
    <t xml:space="preserve">Дивиденды за 3 сезона (млн ₽)</t>
  </si>
  <si>
    <t xml:space="preserve">Стоимость доли 49% на выходе (млн ₽)</t>
  </si>
  <si>
    <t xml:space="preserve">TOTAL RETURN — совокупный доход (млн ₽)</t>
  </si>
  <si>
    <t xml:space="preserve">Кратность к инвестициям (x)</t>
  </si>
  <si>
    <t xml:space="preserve">ОРИЕНТИРЫ</t>
  </si>
  <si>
    <t xml:space="preserve">Total Return — ориентир (млн ₽)</t>
  </si>
  <si>
    <t xml:space="preserve">Кратность — ориентир (x)</t>
  </si>
  <si>
    <t xml:space="preserve">Отклонение Total Return от ориентира (млн)</t>
  </si>
  <si>
    <t xml:space="preserve">ЗАМЕЧАНИЕ: РАСХОЖДЕНИЕ С ОРИЕНТИРАМИ ПРЕЗЕНТАЦИИ</t>
  </si>
  <si>
    <t xml:space="preserve">Модель рассчитывает Total Return за 3 сезона как: Дивиденды (70%→49% переход) + Стоимость доли (3x прибыль). Ориентиры в презентации (257 млн баз., 352 млн макс.) превышают расчётные значения. Возможные причины: (1) презентация предполагает рост числа свадеб год к году; (2) используется более высокий мультипликатор на выходе; (3) считается 70% на все 3 сезона без перехода на 49%. Базовая модель построена на консервативной механике. Для роста — см. допущения C47-C50.</t>
  </si>
  <si>
    <t xml:space="preserve">ПРОВЕРКА МОДЕЛИ — LUCE SILVA</t>
  </si>
  <si>
    <t xml:space="preserve">КОНТРОЛЬНЫЕ ТОЧКИ МОДЕЛИ</t>
  </si>
  <si>
    <t xml:space="preserve">ПРОВЕРКА</t>
  </si>
  <si>
    <t xml:space="preserve">ЗНАЧЕНИЕ</t>
  </si>
  <si>
    <t xml:space="preserve">ЭТАЛОН</t>
  </si>
  <si>
    <t xml:space="preserve">CAPEX итого = 66 млн ₽</t>
  </si>
  <si>
    <t xml:space="preserve">Выручка/свадьба = 949 тыс ₽</t>
  </si>
  <si>
    <t xml:space="preserve">COGS/свадьба = 290 тыс ₽</t>
  </si>
  <si>
    <t xml:space="preserve">Прибыль/свадьба = 659 тыс ₽</t>
  </si>
  <si>
    <t xml:space="preserve">Прибыль мин (80×659к) = 52,7 млн</t>
  </si>
  <si>
    <t xml:space="preserve">Прибыль баз (100×659к) = 65,9 млн</t>
  </si>
  <si>
    <t xml:space="preserve">Прибыль макс (120×659к) = 79,1 млн</t>
  </si>
  <si>
    <t xml:space="preserve">Инвестору мин (80%) = 42,2 млн</t>
  </si>
  <si>
    <t xml:space="preserve">Инвестору баз (80%) = 52,7 млн</t>
  </si>
  <si>
    <t xml:space="preserve">Инвестору макс (80%) = 63,3 млн</t>
  </si>
  <si>
    <t xml:space="preserve">Оценка мин (3x×52.7) = 158,2 млн</t>
  </si>
  <si>
    <t xml:space="preserve">Оценка баз (3x×65.9) = 197,7 млн</t>
  </si>
  <si>
    <t xml:space="preserve">Оценка макс (3x×79.1) = 237,2 млн</t>
  </si>
  <si>
    <t xml:space="preserve">Доля мин (49%×158.2) = 77,5 млн</t>
  </si>
  <si>
    <t xml:space="preserve">Доля баз (49%×197.7) = 96,9 млн</t>
  </si>
  <si>
    <t xml:space="preserve">Доля макс (49%×237.2) = 116,2 млн</t>
  </si>
  <si>
    <t xml:space="preserve">Доходность мин = 63.9%</t>
  </si>
  <si>
    <t xml:space="preserve">Доходность баз = 79.9%</t>
  </si>
  <si>
    <t xml:space="preserve">Доходность макс = 95.9%</t>
  </si>
  <si>
    <t xml:space="preserve">Окупаемость мин ≈ 1.6 сезона</t>
  </si>
  <si>
    <t xml:space="preserve">Окупаемость баз ≈ 1.3 сезона</t>
  </si>
  <si>
    <t xml:space="preserve">Окупаемость макс ≈ 1.0 сезона</t>
  </si>
  <si>
    <t xml:space="preserve">Сезонность: итого = 100%</t>
  </si>
  <si>
    <t xml:space="preserve">ЗАМЕЧАНИЯ ПО РАСХОЖДЕНИЯМ С ПРЕЗЕНТАЦИЕЙ</t>
  </si>
  <si>
    <t xml:space="preserve">⚑ Total Return 3 сезона:</t>
  </si>
  <si>
    <t xml:space="preserve">Модель даёт меньше ориентиров (133.6/257/352 млн) т.к. использует строгую механику 70%→49% и постоянный объём свадеб. Ориентиры</t>
  </si>
  <si>
    <t xml:space="preserve">⚑ Окупаемость 1–2 сезона:</t>
  </si>
  <si>
    <t xml:space="preserve">Презентация пишет «1–2 сезона». Расчёт: мин=2.5, баз=1.9, макс=1.3. Базовый и макс сценарии укладываются в «1–2 сезона».</t>
  </si>
  <si>
    <t xml:space="preserve">⚑ Маржинальность:</t>
  </si>
  <si>
    <t xml:space="preserve">Модель принимает 225к COGS как единую сумму Разбивка по статьям в Юнит-экономике — ASSUMPTION аналитика.</t>
  </si>
  <si>
    <t xml:space="preserve">⚑ Рост чека:</t>
  </si>
  <si>
    <t xml:space="preserve">Допущение о росте 8% г/г встроено в P&amp;L помесячно, но НЕ влияет на блок сценарного анализа (который берёт данные 1-го сезона из Допущений).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</si>
</sst>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&quot; ₽&quot;;\-#,##0&quot; ₽&quot;"/>
    <numFmt numFmtId="166" formatCode="0.000%"/>
    <numFmt numFmtId="167" formatCode="#,##0.0&quot; млн ₽&quot;"/>
    <numFmt numFmtId="168" formatCode="0.0%"/>
    <numFmt numFmtId="169" formatCode="0.00\×"/>
    <numFmt numFmtId="170" formatCode="#,##0&quot; ₽&quot;;\(#,##0&quot; ₽)&quot;;\-"/>
    <numFmt numFmtId="171" formatCode="#,##0;\(#,##0\);\-"/>
    <numFmt numFmtId="172" formatCode="0.0%;\(0.0%\);\-"/>
    <numFmt numFmtId="173" formatCode="#,##0.0&quot; млн&quot;;\(#,##0.0&quot; млн)&quot;;\-"/>
    <numFmt numFmtId="174" formatCode="0.0\x"/>
    <numFmt numFmtId="175" formatCode="@"/>
  </numFmts>
  <fonts count="5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DDAA"/>
      <name val="Arial"/>
      <family val="0"/>
      <charset val="1"/>
    </font>
    <font>
      <b val="true"/>
      <sz val="12"/>
      <color rgb="FF2C3A5E"/>
      <name val="Arial"/>
      <family val="0"/>
      <charset val="1"/>
    </font>
    <font>
      <b val="true"/>
      <sz val="14"/>
      <color rgb="FF882200"/>
      <name val="Arial"/>
      <family val="0"/>
      <charset val="1"/>
    </font>
    <font>
      <b val="true"/>
      <i val="true"/>
      <sz val="10"/>
      <color rgb="FFCC0000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1"/>
      <color rgb="FF2C3A5E"/>
      <name val="Arial"/>
      <family val="0"/>
      <charset val="1"/>
    </font>
    <font>
      <b val="true"/>
      <sz val="10"/>
      <color rgb="FF2C3A5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AACCFF"/>
      <name val="Arial"/>
      <family val="0"/>
      <charset val="1"/>
    </font>
    <font>
      <sz val="9"/>
      <color rgb="FF666666"/>
      <name val="Arial"/>
      <family val="0"/>
      <charset val="1"/>
    </font>
    <font>
      <sz val="9"/>
      <color rgb="FF7B3F00"/>
      <name val="Arial"/>
      <family val="0"/>
      <charset val="1"/>
    </font>
    <font>
      <sz val="9"/>
      <color rgb="FF0D4F1E"/>
      <name val="Arial"/>
      <family val="0"/>
      <charset val="1"/>
    </font>
    <font>
      <sz val="9"/>
      <color rgb="FF003080"/>
      <name val="Arial"/>
      <family val="0"/>
      <charset val="1"/>
    </font>
    <font>
      <b val="true"/>
      <sz val="11"/>
      <color rgb="FF003333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555555"/>
      <name val="Arial"/>
      <family val="0"/>
      <charset val="1"/>
    </font>
    <font>
      <sz val="9"/>
      <color rgb="FF444444"/>
      <name val="Arial"/>
      <family val="0"/>
      <charset val="1"/>
    </font>
    <font>
      <sz val="10"/>
      <color rgb="FF222222"/>
      <name val="Arial"/>
      <family val="0"/>
      <charset val="1"/>
    </font>
    <font>
      <sz val="10"/>
      <color rgb="FF7B3F00"/>
      <name val="Arial"/>
      <family val="0"/>
      <charset val="1"/>
    </font>
    <font>
      <sz val="10"/>
      <color rgb="FF0D4F1E"/>
      <name val="Arial"/>
      <family val="0"/>
      <charset val="1"/>
    </font>
    <font>
      <sz val="10"/>
      <color rgb="FF003080"/>
      <name val="Arial"/>
      <family val="0"/>
      <charset val="1"/>
    </font>
    <font>
      <b val="true"/>
      <sz val="13"/>
      <color rgb="FFC8A951"/>
      <name val="Arial"/>
      <family val="0"/>
      <charset val="1"/>
    </font>
    <font>
      <b val="true"/>
      <sz val="13"/>
      <color rgb="FF2C3A5E"/>
      <name val="Arial"/>
      <family val="0"/>
      <charset val="1"/>
    </font>
    <font>
      <sz val="9"/>
      <color rgb="FF888888"/>
      <name val="Arial"/>
      <family val="0"/>
      <charset val="1"/>
    </font>
    <font>
      <i val="true"/>
      <sz val="8"/>
      <color rgb="FF777777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sz val="11"/>
      <color rgb="FFC8A951"/>
      <name val="Arial"/>
      <family val="0"/>
      <charset val="1"/>
    </font>
    <font>
      <i val="true"/>
      <sz val="9"/>
      <color rgb="FFCC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66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33C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66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0033CC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i val="true"/>
      <sz val="9"/>
      <color rgb="FF990000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666666"/>
      <name val="Arial"/>
      <family val="0"/>
      <charset val="1"/>
    </font>
    <font>
      <sz val="9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11"/>
      <color rgb="FF003366"/>
      <name val="Arial"/>
      <family val="0"/>
      <charset val="1"/>
    </font>
    <font>
      <b val="true"/>
      <sz val="10"/>
      <color rgb="FF00336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9"/>
      <color rgb="FF880000"/>
      <name val="Arial"/>
      <family val="0"/>
      <charset val="1"/>
    </font>
    <font>
      <b val="true"/>
      <sz val="10"/>
      <color rgb="FF990000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1E2235"/>
        <bgColor rgb="FF222227"/>
      </patternFill>
    </fill>
    <fill>
      <patternFill patternType="solid">
        <fgColor rgb="FFC8A951"/>
        <bgColor rgb="FFCCAA00"/>
      </patternFill>
    </fill>
    <fill>
      <patternFill patternType="solid">
        <fgColor rgb="FF2C3A5E"/>
        <bgColor rgb="FF1E3A5F"/>
      </patternFill>
    </fill>
    <fill>
      <patternFill patternType="solid">
        <fgColor rgb="FFFFF8E1"/>
        <bgColor rgb="FFFFF3E0"/>
      </patternFill>
    </fill>
    <fill>
      <patternFill patternType="solid">
        <fgColor rgb="FFFFF3CD"/>
        <bgColor rgb="FFFFFACD"/>
      </patternFill>
    </fill>
    <fill>
      <patternFill patternType="solid">
        <fgColor rgb="FFF5F5F5"/>
        <bgColor rgb="FFEEF2F8"/>
      </patternFill>
    </fill>
    <fill>
      <patternFill patternType="solid">
        <fgColor rgb="FFA0522D"/>
        <bgColor rgb="FF7B3F00"/>
      </patternFill>
    </fill>
    <fill>
      <patternFill patternType="solid">
        <fgColor rgb="FF228B22"/>
        <bgColor rgb="FF559955"/>
      </patternFill>
    </fill>
    <fill>
      <patternFill patternType="solid">
        <fgColor rgb="FF1565C0"/>
        <bgColor rgb="FF1E6B9E"/>
      </patternFill>
    </fill>
    <fill>
      <patternFill patternType="solid">
        <fgColor rgb="FFEEF2F8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1E3A6E"/>
        <bgColor rgb="FF1E3A5F"/>
      </patternFill>
    </fill>
    <fill>
      <patternFill patternType="solid">
        <fgColor rgb="FFE8F5E9"/>
        <bgColor rgb="FFF1F8E9"/>
      </patternFill>
    </fill>
    <fill>
      <patternFill patternType="solid">
        <fgColor rgb="FFFFF3E0"/>
        <bgColor rgb="FFFFF8E1"/>
      </patternFill>
    </fill>
    <fill>
      <patternFill patternType="solid">
        <fgColor rgb="FFF1F8E9"/>
        <bgColor rgb="FFF5F5F5"/>
      </patternFill>
    </fill>
    <fill>
      <patternFill patternType="solid">
        <fgColor rgb="FFE3F2FD"/>
        <bgColor rgb="FFDCF0FF"/>
      </patternFill>
    </fill>
    <fill>
      <patternFill patternType="solid">
        <fgColor rgb="FFC6EAC9"/>
        <bgColor rgb="FFDDDDDD"/>
      </patternFill>
    </fill>
    <fill>
      <patternFill patternType="solid">
        <fgColor rgb="FFDCF0FF"/>
        <bgColor rgb="FFE3F2FD"/>
      </patternFill>
    </fill>
    <fill>
      <patternFill patternType="solid">
        <fgColor rgb="FFFFFACD"/>
        <bgColor rgb="FFFFF3CD"/>
      </patternFill>
    </fill>
    <fill>
      <patternFill patternType="solid">
        <fgColor rgb="FF1E3A5F"/>
        <bgColor rgb="FF1E3A6E"/>
      </patternFill>
    </fill>
    <fill>
      <patternFill patternType="solid">
        <fgColor rgb="FF1E6B9E"/>
        <bgColor rgb="FF1565C0"/>
      </patternFill>
    </fill>
    <fill>
      <patternFill patternType="solid">
        <fgColor rgb="FF3D3D5C"/>
        <bgColor rgb="FF334466"/>
      </patternFill>
    </fill>
    <fill>
      <patternFill patternType="solid">
        <fgColor rgb="FFFFE8E8"/>
        <bgColor rgb="FFFFF3E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333334"/>
      </left>
      <right style="thin">
        <color rgb="FF333334"/>
      </right>
      <top style="thin">
        <color rgb="FF333334"/>
      </top>
      <bottom style="thin">
        <color rgb="FF333334"/>
      </bottom>
      <diagonal/>
    </border>
    <border diagonalUp="false" diagonalDown="false">
      <left style="thin">
        <color rgb="FFB89000"/>
      </left>
      <right style="thin">
        <color rgb="FFB89000"/>
      </right>
      <top style="thin">
        <color rgb="FFB89000"/>
      </top>
      <bottom style="thin">
        <color rgb="FFB89000"/>
      </bottom>
      <diagonal/>
    </border>
    <border diagonalUp="false" diagonalDown="false">
      <left style="thin">
        <color rgb="FF334466"/>
      </left>
      <right style="thin">
        <color rgb="FF334466"/>
      </right>
      <top style="thin">
        <color rgb="FF334466"/>
      </top>
      <bottom style="thin">
        <color rgb="FF334466"/>
      </bottom>
      <diagonal/>
    </border>
    <border diagonalUp="false" diagonalDown="false">
      <left style="medium">
        <color rgb="FFCCAA00"/>
      </left>
      <right style="medium">
        <color rgb="FFCCAA00"/>
      </right>
      <top style="medium">
        <color rgb="FFCCAA00"/>
      </top>
      <bottom style="medium">
        <color rgb="FFCCAA00"/>
      </bottom>
      <diagonal/>
    </border>
    <border diagonalUp="false" diagonalDown="false">
      <left style="medium">
        <color rgb="FFB89000"/>
      </left>
      <right style="medium">
        <color rgb="FFB89000"/>
      </right>
      <top style="medium">
        <color rgb="FFB89000"/>
      </top>
      <bottom style="medium">
        <color rgb="FFB89000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222227"/>
      </left>
      <right style="thin">
        <color rgb="FF222227"/>
      </right>
      <top style="thin">
        <color rgb="FF222227"/>
      </top>
      <bottom style="thin">
        <color rgb="FF222227"/>
      </bottom>
      <diagonal/>
    </border>
    <border diagonalUp="false" diagonalDown="false">
      <left style="medium">
        <color rgb="FF779977"/>
      </left>
      <right style="medium">
        <color rgb="FF779977"/>
      </right>
      <top style="medium">
        <color rgb="FF779977"/>
      </top>
      <bottom style="medium">
        <color rgb="FF779977"/>
      </bottom>
      <diagonal/>
    </border>
    <border diagonalUp="false" diagonalDown="false">
      <left style="medium">
        <color rgb="FF559955"/>
      </left>
      <right style="medium">
        <color rgb="FF559955"/>
      </right>
      <top style="medium">
        <color rgb="FF559955"/>
      </top>
      <bottom style="medium">
        <color rgb="FF559955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7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4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1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7" fillId="1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1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1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8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1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1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1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5" fillId="1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1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1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8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9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7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6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6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36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35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36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11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6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36" fillId="14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36" fillId="14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19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2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1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1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43" fillId="19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43" fillId="19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43" fillId="19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35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43" fillId="19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5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35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35" fillId="2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5" fillId="2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6" fillId="14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35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8" fillId="2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2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2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51" fillId="7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2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53" fillId="12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0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51" fillId="12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2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53" fillId="14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51" fillId="7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2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53" fillId="5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1" fillId="7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0" fillId="1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51" fillId="19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35" fillId="14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35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35" fillId="5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43" fillId="19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5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5" fontId="3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F5F5F5"/>
      <rgbColor rgb="FF0033CC"/>
      <rgbColor rgb="FFFFF8E1"/>
      <rgbColor rgb="FF444444"/>
      <rgbColor rgb="FFEEF2F8"/>
      <rgbColor rgb="FF880000"/>
      <rgbColor rgb="FF006600"/>
      <rgbColor rgb="FF003080"/>
      <rgbColor rgb="FFB89000"/>
      <rgbColor rgb="FFCC0000"/>
      <rgbColor rgb="FF1E6B9E"/>
      <rgbColor rgb="FFCCCCCC"/>
      <rgbColor rgb="FF888888"/>
      <rgbColor rgb="FF9DC3E6"/>
      <rgbColor rgb="FF7030A0"/>
      <rgbColor rgb="FFFFFACD"/>
      <rgbColor rgb="FFDCF0FF"/>
      <rgbColor rgb="FF3D3D5C"/>
      <rgbColor rgb="FFC8A951"/>
      <rgbColor rgb="FF1565C0"/>
      <rgbColor rgb="FFDDDDDD"/>
      <rgbColor rgb="FF1E2235"/>
      <rgbColor rgb="FF2C3A5E"/>
      <rgbColor rgb="FFFFF3E0"/>
      <rgbColor rgb="FFF1F8E9"/>
      <rgbColor rgb="FF7B3F00"/>
      <rgbColor rgb="FF990000"/>
      <rgbColor rgb="FF228B22"/>
      <rgbColor rgb="FF1E3A5F"/>
      <rgbColor rgb="FF334466"/>
      <rgbColor rgb="FFE3F2FD"/>
      <rgbColor rgb="FFC6EAC9"/>
      <rgbColor rgb="FFFFF3CD"/>
      <rgbColor rgb="FFAACCFF"/>
      <rgbColor rgb="FFFFE8E8"/>
      <rgbColor rgb="FF777777"/>
      <rgbColor rgb="FFFFDDAA"/>
      <rgbColor rgb="FF4472C4"/>
      <rgbColor rgb="FF555555"/>
      <rgbColor rgb="FF70AD47"/>
      <rgbColor rgb="FFE8F5E9"/>
      <rgbColor rgb="FFCCAA00"/>
      <rgbColor rgb="FFE06C00"/>
      <rgbColor rgb="FF666666"/>
      <rgbColor rgb="FF779977"/>
      <rgbColor rgb="FF00334D"/>
      <rgbColor rgb="FF559955"/>
      <rgbColor rgb="FF0D4F1E"/>
      <rgbColor rgb="FF222227"/>
      <rgbColor rgb="FF882200"/>
      <rgbColor rgb="FFA0522D"/>
      <rgbColor rgb="FF1E3A6E"/>
      <rgbColor rgb="FF3333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951"/>
    <pageSetUpPr fitToPage="false"/>
  </sheetPr>
  <dimension ref="B1:E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6"/>
    <col collapsed="false" customWidth="true" hidden="false" outlineLevel="0" max="5" min="3" style="1" width="21"/>
    <col collapsed="false" customWidth="true" hidden="false" outlineLevel="0" max="6" min="6" style="1" width="2"/>
  </cols>
  <sheetData>
    <row r="1" customFormat="false" ht="37.5" hidden="false" customHeight="true" outlineLevel="0" collapsed="false">
      <c r="B1" s="2" t="s">
        <v>0</v>
      </c>
      <c r="C1" s="2"/>
      <c r="D1" s="2"/>
      <c r="E1" s="2"/>
    </row>
    <row r="2" customFormat="false" ht="15.75" hidden="false" customHeight="true" outlineLevel="0" collapsed="false">
      <c r="B2" s="3" t="s">
        <v>1</v>
      </c>
      <c r="C2" s="3"/>
      <c r="D2" s="3"/>
      <c r="E2" s="3"/>
    </row>
    <row r="3" customFormat="false" ht="9.75" hidden="false" customHeight="true" outlineLevel="0" collapsed="false"/>
    <row r="4" customFormat="false" ht="18" hidden="false" customHeight="true" outlineLevel="0" collapsed="false">
      <c r="B4" s="4" t="s">
        <v>2</v>
      </c>
      <c r="C4" s="5" t="s">
        <v>3</v>
      </c>
      <c r="D4" s="5" t="s">
        <v>4</v>
      </c>
      <c r="E4" s="5" t="s">
        <v>5</v>
      </c>
    </row>
    <row r="5" customFormat="false" ht="33.75" hidden="false" customHeight="true" outlineLevel="0" collapsed="false">
      <c r="B5" s="6" t="s">
        <v>6</v>
      </c>
      <c r="C5" s="7" t="n">
        <v>1000000</v>
      </c>
      <c r="D5" s="8" t="s">
        <v>7</v>
      </c>
      <c r="E5" s="8"/>
    </row>
    <row r="6" customFormat="false" ht="19.5" hidden="false" customHeight="true" outlineLevel="0" collapsed="false">
      <c r="B6" s="9" t="s">
        <v>8</v>
      </c>
      <c r="C6" s="10" t="n">
        <f aca="false">C5/Допущения!C5*Допущения!C6</f>
        <v>0.00742424242424242</v>
      </c>
      <c r="D6" s="10"/>
      <c r="E6" s="10"/>
    </row>
    <row r="7" customFormat="false" ht="19.5" hidden="false" customHeight="true" outlineLevel="0" collapsed="false">
      <c r="B7" s="9" t="s">
        <v>9</v>
      </c>
      <c r="C7" s="10" t="n">
        <f aca="false">C5/Допущения!C5</f>
        <v>0.0151515151515152</v>
      </c>
      <c r="D7" s="10"/>
      <c r="E7" s="10"/>
    </row>
    <row r="8" customFormat="false" ht="19.5" hidden="false" customHeight="true" outlineLevel="0" collapsed="false">
      <c r="B8" s="9" t="s">
        <v>10</v>
      </c>
      <c r="C8" s="11" t="n">
        <f aca="false">Допущения!C8</f>
        <v>1000000</v>
      </c>
      <c r="D8" s="11"/>
      <c r="E8" s="11"/>
    </row>
    <row r="9" customFormat="false" ht="9.75" hidden="false" customHeight="true" outlineLevel="0" collapsed="false"/>
    <row r="10" customFormat="false" ht="27.75" hidden="false" customHeight="true" outlineLevel="0" collapsed="false">
      <c r="B10" s="12" t="s">
        <v>11</v>
      </c>
      <c r="C10" s="13" t="s">
        <v>12</v>
      </c>
      <c r="D10" s="14" t="s">
        <v>13</v>
      </c>
      <c r="E10" s="15" t="s">
        <v>14</v>
      </c>
    </row>
    <row r="11" customFormat="false" ht="18" hidden="false" customHeight="true" outlineLevel="0" collapsed="false">
      <c r="B11" s="16" t="s">
        <v>15</v>
      </c>
      <c r="C11" s="16"/>
      <c r="D11" s="16"/>
      <c r="E11" s="16"/>
    </row>
    <row r="12" customFormat="false" ht="7.5" hidden="false" customHeight="true" outlineLevel="0" collapsed="false">
      <c r="B12" s="17"/>
      <c r="C12" s="17"/>
      <c r="D12" s="17"/>
      <c r="E12" s="17"/>
    </row>
    <row r="13" customFormat="false" ht="21.75" hidden="false" customHeight="true" outlineLevel="0" collapsed="false">
      <c r="B13" s="18" t="s">
        <v>16</v>
      </c>
      <c r="C13" s="19" t="s">
        <v>17</v>
      </c>
      <c r="D13" s="19" t="s">
        <v>17</v>
      </c>
      <c r="E13" s="19" t="s">
        <v>17</v>
      </c>
    </row>
    <row r="14" customFormat="false" ht="18" hidden="false" customHeight="true" outlineLevel="0" collapsed="false">
      <c r="B14" s="20" t="s">
        <v>18</v>
      </c>
      <c r="C14" s="21" t="n">
        <f aca="false">Сценарии!C7</f>
        <v>52.72</v>
      </c>
      <c r="D14" s="22" t="n">
        <f aca="false">Сценарии!D7</f>
        <v>65.9</v>
      </c>
      <c r="E14" s="23" t="n">
        <f aca="false">Сценарии!E7</f>
        <v>79.08</v>
      </c>
    </row>
    <row r="15" customFormat="false" ht="18" hidden="false" customHeight="true" outlineLevel="0" collapsed="false">
      <c r="B15" s="20" t="s">
        <v>19</v>
      </c>
      <c r="C15" s="21" t="n">
        <f aca="false">Сценарии!C8</f>
        <v>42.176</v>
      </c>
      <c r="D15" s="22" t="n">
        <f aca="false">Сценарии!D8</f>
        <v>52.72</v>
      </c>
      <c r="E15" s="23" t="n">
        <f aca="false">Сценарии!E8</f>
        <v>63.264</v>
      </c>
    </row>
    <row r="16" customFormat="false" ht="27.75" hidden="false" customHeight="true" outlineLevel="0" collapsed="false">
      <c r="B16" s="24" t="s">
        <v>20</v>
      </c>
      <c r="C16" s="25" t="n">
        <f aca="false">Сценарии!C7*1000000*Допущения!C7*(C5/Допущения!C5)</f>
        <v>639030.303030303</v>
      </c>
      <c r="D16" s="26" t="n">
        <f aca="false">Сценарии!D7*1000000*Допущения!C7*(C5/Допущения!C5)</f>
        <v>798787.878787879</v>
      </c>
      <c r="E16" s="27" t="n">
        <f aca="false">Сценарии!E7*1000000*Допущения!C7*(C5/Допущения!C5)</f>
        <v>958545.454545455</v>
      </c>
    </row>
    <row r="17" customFormat="false" ht="18" hidden="false" customHeight="true" outlineLevel="0" collapsed="false">
      <c r="B17" s="28" t="s">
        <v>21</v>
      </c>
      <c r="C17" s="29" t="n">
        <f aca="false">(Сценарии!C7*1000000*Допущения!C7*(C5/Допущения!C5))/C5</f>
        <v>0.639030303030303</v>
      </c>
      <c r="D17" s="30" t="n">
        <f aca="false">(Сценарии!D7*1000000*Допущения!C7*(C5/Допущения!C5))/C5</f>
        <v>0.798787878787879</v>
      </c>
      <c r="E17" s="31" t="n">
        <f aca="false">(Сценарии!E7*1000000*Допущения!C7*(C5/Допущения!C5))/C5</f>
        <v>0.958545454545455</v>
      </c>
    </row>
    <row r="18" customFormat="false" ht="7.5" hidden="false" customHeight="true" outlineLevel="0" collapsed="false">
      <c r="B18" s="17"/>
      <c r="C18" s="17"/>
      <c r="D18" s="17"/>
      <c r="E18" s="17"/>
    </row>
    <row r="19" customFormat="false" ht="21.75" hidden="false" customHeight="true" outlineLevel="0" collapsed="false">
      <c r="B19" s="18" t="s">
        <v>22</v>
      </c>
      <c r="C19" s="19" t="s">
        <v>23</v>
      </c>
      <c r="D19" s="19" t="s">
        <v>24</v>
      </c>
      <c r="E19" s="19" t="s">
        <v>25</v>
      </c>
    </row>
    <row r="20" customFormat="false" ht="18" hidden="false" customHeight="true" outlineLevel="0" collapsed="false">
      <c r="B20" s="20" t="s">
        <v>18</v>
      </c>
      <c r="C20" s="21" t="n">
        <f aca="false">Сценарии!C7</f>
        <v>52.72</v>
      </c>
      <c r="D20" s="22" t="n">
        <f aca="false">Сценарии!D7</f>
        <v>65.9</v>
      </c>
      <c r="E20" s="23" t="n">
        <f aca="false">Сценарии!E7</f>
        <v>79.08</v>
      </c>
    </row>
    <row r="21" customFormat="false" ht="27.75" hidden="false" customHeight="true" outlineLevel="0" collapsed="false">
      <c r="B21" s="24" t="s">
        <v>26</v>
      </c>
      <c r="C21" s="25" t="n">
        <f aca="false">IF(MAX(0,Допущения!C5-Сценарии!C7*1000000*Допущения!C7)=0,Сценарии!C7*1000000*Допущения!C6,IF(MAX(0,Допущения!C5-Сценарии!C7*1000000*Допущения!C7)&gt;=Сценарии!C7*1000000*Допущения!C7,Сценарии!C7*1000000*Допущения!C7,MAX(0,Допущения!C5-Сценарии!C7*1000000*Допущения!C7)+(Сценарии!C7*1000000-MAX(0,Допущения!C5-Сценарии!C7*1000000*Допущения!C7)/Допущения!C7)*Допущения!C6))*(C5/Допущения!C5)</f>
        <v>531281.818181818</v>
      </c>
      <c r="D21" s="26" t="n">
        <f aca="false">IF(MAX(0,Допущения!C5-Сценарии!D7*1000000*Допущения!C7)=0,Сценарии!D7*1000000*Допущения!C6,IF(MAX(0,Допущения!C5-Сценарии!D7*1000000*Допущения!C7)&gt;=Сценарии!D7*1000000*Допущения!C7,Сценарии!D7*1000000*Допущения!C7,MAX(0,Допущения!C5-Сценарии!D7*1000000*Допущения!C7)+(Сценарии!D7*1000000-MAX(0,Допущения!C5-Сценарии!D7*1000000*Допущения!C7)/Допущения!C7)*Допущения!C6))*(C5/Допущения!C5)</f>
        <v>567227.272727273</v>
      </c>
      <c r="E21" s="27" t="n">
        <f aca="false">IF(MAX(0,Допущения!C5-Сценарии!E7*1000000*Допущения!C7)=0,Сценарии!E7*1000000*Допущения!C6,IF(MAX(0,Допущения!C5-Сценарии!E7*1000000*Допущения!C7)&gt;=Сценарии!E7*1000000*Допущения!C7,Сценарии!E7*1000000*Допущения!C7,MAX(0,Допущения!C5-Сценарии!E7*1000000*Допущения!C7)+(Сценарии!E7*1000000-MAX(0,Допущения!C5-Сценарии!E7*1000000*Допущения!C7)/Допущения!C7)*Допущения!C6))*(C5/Допущения!C5)</f>
        <v>603172.727272727</v>
      </c>
    </row>
    <row r="22" customFormat="false" ht="18" hidden="false" customHeight="true" outlineLevel="0" collapsed="false">
      <c r="B22" s="28" t="s">
        <v>21</v>
      </c>
      <c r="C22" s="29" t="n">
        <f aca="false">(IF(MAX(0,Допущения!C5-Сценарии!C7*1000000*Допущения!C7)=0,Сценарии!C7*1000000*Допущения!C6,IF(MAX(0,Допущения!C5-Сценарии!C7*1000000*Допущения!C7)&gt;=Сценарии!C7*1000000*Допущения!C7,Сценарии!C7*1000000*Допущения!C7,MAX(0,Допущения!C5-Сценарии!C7*1000000*Допущения!C7)+(Сценарии!C7*1000000-MAX(0,Допущения!C5-Сценарии!C7*1000000*Допущения!C7)/Допущения!C7)*Допущения!C6))*(C5/Допущения!C5))/C5</f>
        <v>0.531281818181818</v>
      </c>
      <c r="D22" s="30" t="n">
        <f aca="false">(IF(MAX(0,Допущения!C5-Сценарии!D7*1000000*Допущения!C7)=0,Сценарии!D7*1000000*Допущения!C6,IF(MAX(0,Допущения!C5-Сценарии!D7*1000000*Допущения!C7)&gt;=Сценарии!D7*1000000*Допущения!C7,Сценарии!D7*1000000*Допущения!C7,MAX(0,Допущения!C5-Сценарии!D7*1000000*Допущения!C7)+(Сценарии!D7*1000000-MAX(0,Допущения!C5-Сценарии!D7*1000000*Допущения!C7)/Допущения!C7)*Допущения!C6))*(C5/Допущения!C5))/C5</f>
        <v>0.567227272727273</v>
      </c>
      <c r="E22" s="31" t="n">
        <f aca="false">(IF(MAX(0,Допущения!C5-Сценарии!E7*1000000*Допущения!C7)=0,Сценарии!E7*1000000*Допущения!C6,IF(MAX(0,Допущения!C5-Сценарии!E7*1000000*Допущения!C7)&gt;=Сценарии!E7*1000000*Допущения!C7,Сценарии!E7*1000000*Допущения!C7,MAX(0,Допущения!C5-Сценарии!E7*1000000*Допущения!C7)+(Сценарии!E7*1000000-MAX(0,Допущения!C5-Сценарии!E7*1000000*Допущения!C7)/Допущения!C7)*Допущения!C6))*(C5/Допущения!C5))/C5</f>
        <v>0.603172727272727</v>
      </c>
    </row>
    <row r="23" customFormat="false" ht="7.5" hidden="false" customHeight="true" outlineLevel="0" collapsed="false">
      <c r="B23" s="17"/>
      <c r="C23" s="17"/>
      <c r="D23" s="17"/>
      <c r="E23" s="17"/>
    </row>
    <row r="24" customFormat="false" ht="21.75" hidden="false" customHeight="true" outlineLevel="0" collapsed="false">
      <c r="B24" s="18" t="s">
        <v>27</v>
      </c>
      <c r="C24" s="19" t="s">
        <v>28</v>
      </c>
      <c r="D24" s="19" t="s">
        <v>29</v>
      </c>
      <c r="E24" s="19" t="s">
        <v>29</v>
      </c>
    </row>
    <row r="25" customFormat="false" ht="18" hidden="false" customHeight="true" outlineLevel="0" collapsed="false">
      <c r="B25" s="20" t="s">
        <v>18</v>
      </c>
      <c r="C25" s="21" t="n">
        <f aca="false">Сценарии!C7</f>
        <v>52.72</v>
      </c>
      <c r="D25" s="22" t="n">
        <f aca="false">Сценарии!D7</f>
        <v>65.9</v>
      </c>
      <c r="E25" s="23" t="n">
        <f aca="false">Сценарии!E7</f>
        <v>79.08</v>
      </c>
    </row>
    <row r="26" customFormat="false" ht="27.75" hidden="false" customHeight="true" outlineLevel="0" collapsed="false">
      <c r="B26" s="24" t="s">
        <v>30</v>
      </c>
      <c r="C26" s="25" t="n">
        <f aca="false">IF(MAX(0,MAX(0,Допущения!C5-Сценарии!C7*1000000*Допущения!C7)-IF(MAX(0,Допущения!C5-Сценарии!C7*1000000*Допущения!C7)=0,Сценарии!C7*1000000*Допущения!C6,IF(MAX(0,Допущения!C5-Сценарии!C7*1000000*Допущения!C7)&gt;=Сценарии!C7*1000000*Допущения!C7,Сценарии!C7*1000000*Допущения!C7,MAX(0,Допущения!C5-Сценарии!C7*1000000*Допущения!C7)+(Сценарии!C7*1000000-MAX(0,Допущения!C5-Сценарии!C7*1000000*Допущения!C7)/Допущения!C7)*Допущения!C6)))=0,Сценарии!C7*1000000*Допущения!C6,IF(MAX(0,MAX(0,Допущения!C5-Сценарии!C7*1000000*Допущения!C7)-IF(MAX(0,Допущения!C5-Сценарии!C7*1000000*Допущения!C7)=0,Сценарии!C7*1000000*Допущения!C6,IF(MAX(0,Допущения!C5-Сценарии!C7*1000000*Допущения!C7)&gt;=Сценарии!C7*1000000*Допущения!C7,Сценарии!C7*1000000*Допущения!C7,MAX(0,Допущения!C5-Сценарии!C7*1000000*Допущения!C7)+(Сценарии!C7*1000000-MAX(0,Допущения!C5-Сценарии!C7*1000000*Допущения!C7)/Допущения!C7)*Допущения!C6)))&gt;=Сценарии!C7*1000000*Допущения!C7,Сценарии!C7*1000000*Допущения!C7,MAX(0,MAX(0,Допущения!C5-Сценарии!C7*1000000*Допущения!C7)-IF(MAX(0,Допущения!C5-Сценарии!C7*1000000*Допущения!C7)=0,Сценарии!C7*1000000*Допущения!C6,IF(MAX(0,Допущения!C5-Сценарии!C7*1000000*Допущения!C7)&gt;=Сценарии!C7*1000000*Допущения!C7,Сценарии!C7*1000000*Допущения!C7,MAX(0,Допущения!C5-Сценарии!C7*1000000*Допущения!C7)+(Сценарии!C7*1000000-MAX(0,Допущения!C5-Сценарии!C7*1000000*Допущения!C7)/Допущения!C7)*Допущения!C6)))+(Сценарии!C7*1000000-MAX(0,MAX(0,Допущения!C5-Сценарии!C7*1000000*Допущения!C7)-IF(MAX(0,Допущения!C5-Сценарии!C7*1000000*Допущения!C7)=0,Сценарии!C7*1000000*Допущения!C6,IF(MAX(0,Допущения!C5-Сценарии!C7*1000000*Допущения!C7)&gt;=Сценарии!C7*1000000*Допущения!C7,Сценарии!C7*1000000*Допущения!C7,MAX(0,Допущения!C5-Сценарии!C7*1000000*Допущения!C7)+(Сценарии!C7*1000000-MAX(0,Допущения!C5-Сценарии!C7*1000000*Допущения!C7)/Допущения!C7)*Допущения!C6)))/Допущения!C7)*Допущения!C6))*(C5/Допущения!C5)</f>
        <v>391406.060606061</v>
      </c>
      <c r="D26" s="26" t="n">
        <f aca="false">IF(MAX(0,MAX(0,Допущения!C5-Сценарии!D7*1000000*Допущения!C7)-IF(MAX(0,Допущения!C5-Сценарии!D7*1000000*Допущения!C7)=0,Сценарии!D7*1000000*Допущения!C6,IF(MAX(0,Допущения!C5-Сценарии!D7*1000000*Допущения!C7)&gt;=Сценарии!D7*1000000*Допущения!C7,Сценарии!D7*1000000*Допущения!C7,MAX(0,Допущения!C5-Сценарии!D7*1000000*Допущения!C7)+(Сценарии!D7*1000000-MAX(0,Допущения!C5-Сценарии!D7*1000000*Допущения!C7)/Допущения!C7)*Допущения!C6)))=0,Сценарии!D7*1000000*Допущения!C6,IF(MAX(0,MAX(0,Допущения!C5-Сценарии!D7*1000000*Допущения!C7)-IF(MAX(0,Допущения!C5-Сценарии!D7*1000000*Допущения!C7)=0,Сценарии!D7*1000000*Допущения!C6,IF(MAX(0,Допущения!C5-Сценарии!D7*1000000*Допущения!C7)&gt;=Сценарии!D7*1000000*Допущения!C7,Сценарии!D7*1000000*Допущения!C7,MAX(0,Допущения!C5-Сценарии!D7*1000000*Допущения!C7)+(Сценарии!D7*1000000-MAX(0,Допущения!C5-Сценарии!D7*1000000*Допущения!C7)/Допущения!C7)*Допущения!C6)))&gt;=Сценарии!D7*1000000*Допущения!C7,Сценарии!D7*1000000*Допущения!C7,MAX(0,MAX(0,Допущения!C5-Сценарии!D7*1000000*Допущения!C7)-IF(MAX(0,Допущения!C5-Сценарии!D7*1000000*Допущения!C7)=0,Сценарии!D7*1000000*Допущения!C6,IF(MAX(0,Допущения!C5-Сценарии!D7*1000000*Допущения!C7)&gt;=Сценарии!D7*1000000*Допущения!C7,Сценарии!D7*1000000*Допущения!C7,MAX(0,Допущения!C5-Сценарии!D7*1000000*Допущения!C7)+(Сценарии!D7*1000000-MAX(0,Допущения!C5-Сценарии!D7*1000000*Допущения!C7)/Допущения!C7)*Допущения!C6)))+(Сценарии!D7*1000000-MAX(0,MAX(0,Допущения!C5-Сценарии!D7*1000000*Допущения!C7)-IF(MAX(0,Допущения!C5-Сценарии!D7*1000000*Допущения!C7)=0,Сценарии!D7*1000000*Допущения!C6,IF(MAX(0,Допущения!C5-Сценарии!D7*1000000*Допущения!C7)&gt;=Сценарии!D7*1000000*Допущения!C7,Сценарии!D7*1000000*Допущения!C7,MAX(0,Допущения!C5-Сценарии!D7*1000000*Допущения!C7)+(Сценарии!D7*1000000-MAX(0,Допущения!C5-Сценарии!D7*1000000*Допущения!C7)/Допущения!C7)*Допущения!C6)))/Допущения!C7)*Допущения!C6))*(C5/Допущения!C5)</f>
        <v>489257.575757576</v>
      </c>
      <c r="E26" s="27" t="n">
        <f aca="false">IF(MAX(0,MAX(0,Допущения!C5-Сценарии!E7*1000000*Допущения!C7)-IF(MAX(0,Допущения!C5-Сценарии!E7*1000000*Допущения!C7)=0,Сценарии!E7*1000000*Допущения!C6,IF(MAX(0,Допущения!C5-Сценарии!E7*1000000*Допущения!C7)&gt;=Сценарии!E7*1000000*Допущения!C7,Сценарии!E7*1000000*Допущения!C7,MAX(0,Допущения!C5-Сценарии!E7*1000000*Допущения!C7)+(Сценарии!E7*1000000-MAX(0,Допущения!C5-Сценарии!E7*1000000*Допущения!C7)/Допущения!C7)*Допущения!C6)))=0,Сценарии!E7*1000000*Допущения!C6,IF(MAX(0,MAX(0,Допущения!C5-Сценарии!E7*1000000*Допущения!C7)-IF(MAX(0,Допущения!C5-Сценарии!E7*1000000*Допущения!C7)=0,Сценарии!E7*1000000*Допущения!C6,IF(MAX(0,Допущения!C5-Сценарии!E7*1000000*Допущения!C7)&gt;=Сценарии!E7*1000000*Допущения!C7,Сценарии!E7*1000000*Допущения!C7,MAX(0,Допущения!C5-Сценарии!E7*1000000*Допущения!C7)+(Сценарии!E7*1000000-MAX(0,Допущения!C5-Сценарии!E7*1000000*Допущения!C7)/Допущения!C7)*Допущения!C6)))&gt;=Сценарии!E7*1000000*Допущения!C7,Сценарии!E7*1000000*Допущения!C7,MAX(0,MAX(0,Допущения!C5-Сценарии!E7*1000000*Допущения!C7)-IF(MAX(0,Допущения!C5-Сценарии!E7*1000000*Допущения!C7)=0,Сценарии!E7*1000000*Допущения!C6,IF(MAX(0,Допущения!C5-Сценарии!E7*1000000*Допущения!C7)&gt;=Сценарии!E7*1000000*Допущения!C7,Сценарии!E7*1000000*Допущения!C7,MAX(0,Допущения!C5-Сценарии!E7*1000000*Допущения!C7)+(Сценарии!E7*1000000-MAX(0,Допущения!C5-Сценарии!E7*1000000*Допущения!C7)/Допущения!C7)*Допущения!C6)))+(Сценарии!E7*1000000-MAX(0,MAX(0,Допущения!C5-Сценарии!E7*1000000*Допущения!C7)-IF(MAX(0,Допущения!C5-Сценарии!E7*1000000*Допущения!C7)=0,Сценарии!E7*1000000*Допущения!C6,IF(MAX(0,Допущения!C5-Сценарии!E7*1000000*Допущения!C7)&gt;=Сценарии!E7*1000000*Допущения!C7,Сценарии!E7*1000000*Допущения!C7,MAX(0,Допущения!C5-Сценарии!E7*1000000*Допущения!C7)+(Сценарии!E7*1000000-MAX(0,Допущения!C5-Сценарии!E7*1000000*Допущения!C7)/Допущения!C7)*Допущения!C6)))/Допущения!C7)*Допущения!C6))*(C5/Допущения!C5)</f>
        <v>587109.090909091</v>
      </c>
    </row>
    <row r="27" customFormat="false" ht="18" hidden="false" customHeight="true" outlineLevel="0" collapsed="false">
      <c r="B27" s="28" t="s">
        <v>21</v>
      </c>
      <c r="C27" s="29" t="n">
        <f aca="false">(IF(MAX(0,MAX(0,Допущения!C5-Сценарии!C7*1000000*Допущения!C7)-IF(MAX(0,Допущения!C5-Сценарии!C7*1000000*Допущения!C7)=0,Сценарии!C7*1000000*Допущения!C6,IF(MAX(0,Допущения!C5-Сценарии!C7*1000000*Допущения!C7)&gt;=Сценарии!C7*1000000*Допущения!C7,Сценарии!C7*1000000*Допущения!C7,MAX(0,Допущения!C5-Сценарии!C7*1000000*Допущения!C7)+(Сценарии!C7*1000000-MAX(0,Допущения!C5-Сценарии!C7*1000000*Допущения!C7)/Допущения!C7)*Допущения!C6)))=0,Сценарии!C7*1000000*Допущения!C6,IF(MAX(0,MAX(0,Допущения!C5-Сценарии!C7*1000000*Допущения!C7)-IF(MAX(0,Допущения!C5-Сценарии!C7*1000000*Допущения!C7)=0,Сценарии!C7*1000000*Допущения!C6,IF(MAX(0,Допущения!C5-Сценарии!C7*1000000*Допущения!C7)&gt;=Сценарии!C7*1000000*Допущения!C7,Сценарии!C7*1000000*Допущения!C7,MAX(0,Допущения!C5-Сценарии!C7*1000000*Допущения!C7)+(Сценарии!C7*1000000-MAX(0,Допущения!C5-Сценарии!C7*1000000*Допущения!C7)/Допущения!C7)*Допущения!C6)))&gt;=Сценарии!C7*1000000*Допущения!C7,Сценарии!C7*1000000*Допущения!C7,MAX(0,MAX(0,Допущения!C5-Сценарии!C7*1000000*Допущения!C7)-IF(MAX(0,Допущения!C5-Сценарии!C7*1000000*Допущения!C7)=0,Сценарии!C7*1000000*Допущения!C6,IF(MAX(0,Допущения!C5-Сценарии!C7*1000000*Допущения!C7)&gt;=Сценарии!C7*1000000*Допущения!C7,Сценарии!C7*1000000*Допущения!C7,MAX(0,Допущения!C5-Сценарии!C7*1000000*Допущения!C7)+(Сценарии!C7*1000000-MAX(0,Допущения!C5-Сценарии!C7*1000000*Допущения!C7)/Допущения!C7)*Допущения!C6)))+(Сценарии!C7*1000000-MAX(0,MAX(0,Допущения!C5-Сценарии!C7*1000000*Допущения!C7)-IF(MAX(0,Допущения!C5-Сценарии!C7*1000000*Допущения!C7)=0,Сценарии!C7*1000000*Допущения!C6,IF(MAX(0,Допущения!C5-Сценарии!C7*1000000*Допущения!C7)&gt;=Сценарии!C7*1000000*Допущения!C7,Сценарии!C7*1000000*Допущения!C7,MAX(0,Допущения!C5-Сценарии!C7*1000000*Допущения!C7)+(Сценарии!C7*1000000-MAX(0,Допущения!C5-Сценарии!C7*1000000*Допущения!C7)/Допущения!C7)*Допущения!C6)))/Допущения!C7)*Допущения!C6))*(C5/Допущения!C5))/C5</f>
        <v>0.391406060606061</v>
      </c>
      <c r="D27" s="30" t="n">
        <f aca="false">(IF(MAX(0,MAX(0,Допущения!C5-Сценарии!D7*1000000*Допущения!C7)-IF(MAX(0,Допущения!C5-Сценарии!D7*1000000*Допущения!C7)=0,Сценарии!D7*1000000*Допущения!C6,IF(MAX(0,Допущения!C5-Сценарии!D7*1000000*Допущения!C7)&gt;=Сценарии!D7*1000000*Допущения!C7,Сценарии!D7*1000000*Допущения!C7,MAX(0,Допущения!C5-Сценарии!D7*1000000*Допущения!C7)+(Сценарии!D7*1000000-MAX(0,Допущения!C5-Сценарии!D7*1000000*Допущения!C7)/Допущения!C7)*Допущения!C6)))=0,Сценарии!D7*1000000*Допущения!C6,IF(MAX(0,MAX(0,Допущения!C5-Сценарии!D7*1000000*Допущения!C7)-IF(MAX(0,Допущения!C5-Сценарии!D7*1000000*Допущения!C7)=0,Сценарии!D7*1000000*Допущения!C6,IF(MAX(0,Допущения!C5-Сценарии!D7*1000000*Допущения!C7)&gt;=Сценарии!D7*1000000*Допущения!C7,Сценарии!D7*1000000*Допущения!C7,MAX(0,Допущения!C5-Сценарии!D7*1000000*Допущения!C7)+(Сценарии!D7*1000000-MAX(0,Допущения!C5-Сценарии!D7*1000000*Допущения!C7)/Допущения!C7)*Допущения!C6)))&gt;=Сценарии!D7*1000000*Допущения!C7,Сценарии!D7*1000000*Допущения!C7,MAX(0,MAX(0,Допущения!C5-Сценарии!D7*1000000*Допущения!C7)-IF(MAX(0,Допущения!C5-Сценарии!D7*1000000*Допущения!C7)=0,Сценарии!D7*1000000*Допущения!C6,IF(MAX(0,Допущения!C5-Сценарии!D7*1000000*Допущения!C7)&gt;=Сценарии!D7*1000000*Допущения!C7,Сценарии!D7*1000000*Допущения!C7,MAX(0,Допущения!C5-Сценарии!D7*1000000*Допущения!C7)+(Сценарии!D7*1000000-MAX(0,Допущения!C5-Сценарии!D7*1000000*Допущения!C7)/Допущения!C7)*Допущения!C6)))+(Сценарии!D7*1000000-MAX(0,MAX(0,Допущения!C5-Сценарии!D7*1000000*Допущения!C7)-IF(MAX(0,Допущения!C5-Сценарии!D7*1000000*Допущения!C7)=0,Сценарии!D7*1000000*Допущения!C6,IF(MAX(0,Допущения!C5-Сценарии!D7*1000000*Допущения!C7)&gt;=Сценарии!D7*1000000*Допущения!C7,Сценарии!D7*1000000*Допущения!C7,MAX(0,Допущения!C5-Сценарии!D7*1000000*Допущения!C7)+(Сценарии!D7*1000000-MAX(0,Допущения!C5-Сценарии!D7*1000000*Допущения!C7)/Допущения!C7)*Допущения!C6)))/Допущения!C7)*Допущения!C6))*(C5/Допущения!C5))/C5</f>
        <v>0.489257575757576</v>
      </c>
      <c r="E27" s="31" t="n">
        <f aca="false">(IF(MAX(0,MAX(0,Допущения!C5-Сценарии!E7*1000000*Допущения!C7)-IF(MAX(0,Допущения!C5-Сценарии!E7*1000000*Допущения!C7)=0,Сценарии!E7*1000000*Допущения!C6,IF(MAX(0,Допущения!C5-Сценарии!E7*1000000*Допущения!C7)&gt;=Сценарии!E7*1000000*Допущения!C7,Сценарии!E7*1000000*Допущения!C7,MAX(0,Допущения!C5-Сценарии!E7*1000000*Допущения!C7)+(Сценарии!E7*1000000-MAX(0,Допущения!C5-Сценарии!E7*1000000*Допущения!C7)/Допущения!C7)*Допущения!C6)))=0,Сценарии!E7*1000000*Допущения!C6,IF(MAX(0,MAX(0,Допущения!C5-Сценарии!E7*1000000*Допущения!C7)-IF(MAX(0,Допущения!C5-Сценарии!E7*1000000*Допущения!C7)=0,Сценарии!E7*1000000*Допущения!C6,IF(MAX(0,Допущения!C5-Сценарии!E7*1000000*Допущения!C7)&gt;=Сценарии!E7*1000000*Допущения!C7,Сценарии!E7*1000000*Допущения!C7,MAX(0,Допущения!C5-Сценарии!E7*1000000*Допущения!C7)+(Сценарии!E7*1000000-MAX(0,Допущения!C5-Сценарии!E7*1000000*Допущения!C7)/Допущения!C7)*Допущения!C6)))&gt;=Сценарии!E7*1000000*Допущения!C7,Сценарии!E7*1000000*Допущения!C7,MAX(0,MAX(0,Допущения!C5-Сценарии!E7*1000000*Допущения!C7)-IF(MAX(0,Допущения!C5-Сценарии!E7*1000000*Допущения!C7)=0,Сценарии!E7*1000000*Допущения!C6,IF(MAX(0,Допущения!C5-Сценарии!E7*1000000*Допущения!C7)&gt;=Сценарии!E7*1000000*Допущения!C7,Сценарии!E7*1000000*Допущения!C7,MAX(0,Допущения!C5-Сценарии!E7*1000000*Допущения!C7)+(Сценарии!E7*1000000-MAX(0,Допущения!C5-Сценарии!E7*1000000*Допущения!C7)/Допущения!C7)*Допущения!C6)))+(Сценарии!E7*1000000-MAX(0,MAX(0,Допущения!C5-Сценарии!E7*1000000*Допущения!C7)-IF(MAX(0,Допущения!C5-Сценарии!E7*1000000*Допущения!C7)=0,Сценарии!E7*1000000*Допущения!C6,IF(MAX(0,Допущения!C5-Сценарии!E7*1000000*Допущения!C7)&gt;=Сценарии!E7*1000000*Допущения!C7,Сценарии!E7*1000000*Допущения!C7,MAX(0,Допущения!C5-Сценарии!E7*1000000*Допущения!C7)+(Сценарии!E7*1000000-MAX(0,Допущения!C5-Сценарии!E7*1000000*Допущения!C7)/Допущения!C7)*Допущения!C6)))/Допущения!C7)*Допущения!C6))*(C5/Допущения!C5))/C5</f>
        <v>0.587109090909091</v>
      </c>
    </row>
    <row r="28" customFormat="false" ht="6" hidden="false" customHeight="true" outlineLevel="0" collapsed="false">
      <c r="B28" s="17"/>
      <c r="C28" s="17"/>
      <c r="D28" s="17"/>
      <c r="E28" s="17"/>
    </row>
    <row r="29" customFormat="false" ht="25.5" hidden="false" customHeight="true" outlineLevel="0" collapsed="false">
      <c r="B29" s="32" t="s">
        <v>31</v>
      </c>
      <c r="C29" s="33" t="n">
        <f aca="false">Сценарии!C7*1000000*Допущения!C7*(C5/Допущения!C5)+IF(MAX(0,Допущения!C5-Сценарии!C7*1000000*Допущения!C7)=0,Сценарии!C7*1000000*Допущения!C6,IF(MAX(0,Допущения!C5-Сценарии!C7*1000000*Допущения!C7)&gt;=Сценарии!C7*1000000*Допущения!C7,Сценарии!C7*1000000*Допущения!C7,MAX(0,Допущения!C5-Сценарии!C7*1000000*Допущения!C7)+(Сценарии!C7*1000000-MAX(0,Допущения!C5-Сценарии!C7*1000000*Допущения!C7)/Допущения!C7)*Допущения!C6))*(C5/Допущения!C5)+IF(MAX(0,MAX(0,Допущения!C5-Сценарии!C7*1000000*Допущения!C7)-IF(MAX(0,Допущения!C5-Сценарии!C7*1000000*Допущения!C7)=0,Сценарии!C7*1000000*Допущения!C6,IF(MAX(0,Допущения!C5-Сценарии!C7*1000000*Допущения!C7)&gt;=Сценарии!C7*1000000*Допущения!C7,Сценарии!C7*1000000*Допущения!C7,MAX(0,Допущения!C5-Сценарии!C7*1000000*Допущения!C7)+(Сценарии!C7*1000000-MAX(0,Допущения!C5-Сценарии!C7*1000000*Допущения!C7)/Допущения!C7)*Допущения!C6)))=0,Сценарии!C7*1000000*Допущения!C6,IF(MAX(0,MAX(0,Допущения!C5-Сценарии!C7*1000000*Допущения!C7)-IF(MAX(0,Допущения!C5-Сценарии!C7*1000000*Допущения!C7)=0,Сценарии!C7*1000000*Допущения!C6,IF(MAX(0,Допущения!C5-Сценарии!C7*1000000*Допущения!C7)&gt;=Сценарии!C7*1000000*Допущения!C7,Сценарии!C7*1000000*Допущения!C7,MAX(0,Допущения!C5-Сценарии!C7*1000000*Допущения!C7)+(Сценарии!C7*1000000-MAX(0,Допущения!C5-Сценарии!C7*1000000*Допущения!C7)/Допущения!C7)*Допущения!C6)))&gt;=Сценарии!C7*1000000*Допущения!C7,Сценарии!C7*1000000*Допущения!C7,MAX(0,MAX(0,Допущения!C5-Сценарии!C7*1000000*Допущения!C7)-IF(MAX(0,Допущения!C5-Сценарии!C7*1000000*Допущения!C7)=0,Сценарии!C7*1000000*Допущения!C6,IF(MAX(0,Допущения!C5-Сценарии!C7*1000000*Допущения!C7)&gt;=Сценарии!C7*1000000*Допущения!C7,Сценарии!C7*1000000*Допущения!C7,MAX(0,Допущения!C5-Сценарии!C7*1000000*Допущения!C7)+(Сценарии!C7*1000000-MAX(0,Допущения!C5-Сценарии!C7*1000000*Допущения!C7)/Допущения!C7)*Допущения!C6)))+(Сценарии!C7*1000000-MAX(0,MAX(0,Допущения!C5-Сценарии!C7*1000000*Допущения!C7)-IF(MAX(0,Допущения!C5-Сценарии!C7*1000000*Допущения!C7)=0,Сценарии!C7*1000000*Допущения!C6,IF(MAX(0,Допущения!C5-Сценарии!C7*1000000*Допущения!C7)&gt;=Сценарии!C7*1000000*Допущения!C7,Сценарии!C7*1000000*Допущения!C7,MAX(0,Допущения!C5-Сценарии!C7*1000000*Допущения!C7)+(Сценарии!C7*1000000-MAX(0,Допущения!C5-Сценарии!C7*1000000*Допущения!C7)/Допущения!C7)*Допущения!C6)))/Допущения!C7)*Допущения!C6))*(C5/Допущения!C5)</f>
        <v>1561718.18181818</v>
      </c>
      <c r="D29" s="33" t="n">
        <f aca="false">Сценарии!D7*1000000*Допущения!C7*(C5/Допущения!C5)+IF(MAX(0,Допущения!C5-Сценарии!D7*1000000*Допущения!C7)=0,Сценарии!D7*1000000*Допущения!C6,IF(MAX(0,Допущения!C5-Сценарии!D7*1000000*Допущения!C7)&gt;=Сценарии!D7*1000000*Допущения!C7,Сценарии!D7*1000000*Допущения!C7,MAX(0,Допущения!C5-Сценарии!D7*1000000*Допущения!C7)+(Сценарии!D7*1000000-MAX(0,Допущения!C5-Сценарии!D7*1000000*Допущения!C7)/Допущения!C7)*Допущения!C6))*(C5/Допущения!C5)+IF(MAX(0,MAX(0,Допущения!C5-Сценарии!D7*1000000*Допущения!C7)-IF(MAX(0,Допущения!C5-Сценарии!D7*1000000*Допущения!C7)=0,Сценарии!D7*1000000*Допущения!C6,IF(MAX(0,Допущения!C5-Сценарии!D7*1000000*Допущения!C7)&gt;=Сценарии!D7*1000000*Допущения!C7,Сценарии!D7*1000000*Допущения!C7,MAX(0,Допущения!C5-Сценарии!D7*1000000*Допущения!C7)+(Сценарии!D7*1000000-MAX(0,Допущения!C5-Сценарии!D7*1000000*Допущения!C7)/Допущения!C7)*Допущения!C6)))=0,Сценарии!D7*1000000*Допущения!C6,IF(MAX(0,MAX(0,Допущения!C5-Сценарии!D7*1000000*Допущения!C7)-IF(MAX(0,Допущения!C5-Сценарии!D7*1000000*Допущения!C7)=0,Сценарии!D7*1000000*Допущения!C6,IF(MAX(0,Допущения!C5-Сценарии!D7*1000000*Допущения!C7)&gt;=Сценарии!D7*1000000*Допущения!C7,Сценарии!D7*1000000*Допущения!C7,MAX(0,Допущения!C5-Сценарии!D7*1000000*Допущения!C7)+(Сценарии!D7*1000000-MAX(0,Допущения!C5-Сценарии!D7*1000000*Допущения!C7)/Допущения!C7)*Допущения!C6)))&gt;=Сценарии!D7*1000000*Допущения!C7,Сценарии!D7*1000000*Допущения!C7,MAX(0,MAX(0,Допущения!C5-Сценарии!D7*1000000*Допущения!C7)-IF(MAX(0,Допущения!C5-Сценарии!D7*1000000*Допущения!C7)=0,Сценарии!D7*1000000*Допущения!C6,IF(MAX(0,Допущения!C5-Сценарии!D7*1000000*Допущения!C7)&gt;=Сценарии!D7*1000000*Допущения!C7,Сценарии!D7*1000000*Допущения!C7,MAX(0,Допущения!C5-Сценарии!D7*1000000*Допущения!C7)+(Сценарии!D7*1000000-MAX(0,Допущения!C5-Сценарии!D7*1000000*Допущения!C7)/Допущения!C7)*Допущения!C6)))+(Сценарии!D7*1000000-MAX(0,MAX(0,Допущения!C5-Сценарии!D7*1000000*Допущения!C7)-IF(MAX(0,Допущения!C5-Сценарии!D7*1000000*Допущения!C7)=0,Сценарии!D7*1000000*Допущения!C6,IF(MAX(0,Допущения!C5-Сценарии!D7*1000000*Допущения!C7)&gt;=Сценарии!D7*1000000*Допущения!C7,Сценарии!D7*1000000*Допущения!C7,MAX(0,Допущения!C5-Сценарии!D7*1000000*Допущения!C7)+(Сценарии!D7*1000000-MAX(0,Допущения!C5-Сценарии!D7*1000000*Допущения!C7)/Допущения!C7)*Допущения!C6)))/Допущения!C7)*Допущения!C6))*(C5/Допущения!C5)</f>
        <v>1855272.72727273</v>
      </c>
      <c r="E29" s="33" t="n">
        <f aca="false">Сценарии!E7*1000000*Допущения!C7*(C5/Допущения!C5)+IF(MAX(0,Допущения!C5-Сценарии!E7*1000000*Допущения!C7)=0,Сценарии!E7*1000000*Допущения!C6,IF(MAX(0,Допущения!C5-Сценарии!E7*1000000*Допущения!C7)&gt;=Сценарии!E7*1000000*Допущения!C7,Сценарии!E7*1000000*Допущения!C7,MAX(0,Допущения!C5-Сценарии!E7*1000000*Допущения!C7)+(Сценарии!E7*1000000-MAX(0,Допущения!C5-Сценарии!E7*1000000*Допущения!C7)/Допущения!C7)*Допущения!C6))*(C5/Допущения!C5)+IF(MAX(0,MAX(0,Допущения!C5-Сценарии!E7*1000000*Допущения!C7)-IF(MAX(0,Допущения!C5-Сценарии!E7*1000000*Допущения!C7)=0,Сценарии!E7*1000000*Допущения!C6,IF(MAX(0,Допущения!C5-Сценарии!E7*1000000*Допущения!C7)&gt;=Сценарии!E7*1000000*Допущения!C7,Сценарии!E7*1000000*Допущения!C7,MAX(0,Допущения!C5-Сценарии!E7*1000000*Допущения!C7)+(Сценарии!E7*1000000-MAX(0,Допущения!C5-Сценарии!E7*1000000*Допущения!C7)/Допущения!C7)*Допущения!C6)))=0,Сценарии!E7*1000000*Допущения!C6,IF(MAX(0,MAX(0,Допущения!C5-Сценарии!E7*1000000*Допущения!C7)-IF(MAX(0,Допущения!C5-Сценарии!E7*1000000*Допущения!C7)=0,Сценарии!E7*1000000*Допущения!C6,IF(MAX(0,Допущения!C5-Сценарии!E7*1000000*Допущения!C7)&gt;=Сценарии!E7*1000000*Допущения!C7,Сценарии!E7*1000000*Допущения!C7,MAX(0,Допущения!C5-Сценарии!E7*1000000*Допущения!C7)+(Сценарии!E7*1000000-MAX(0,Допущения!C5-Сценарии!E7*1000000*Допущения!C7)/Допущения!C7)*Допущения!C6)))&gt;=Сценарии!E7*1000000*Допущения!C7,Сценарии!E7*1000000*Допущения!C7,MAX(0,MAX(0,Допущения!C5-Сценарии!E7*1000000*Допущения!C7)-IF(MAX(0,Допущения!C5-Сценарии!E7*1000000*Допущения!C7)=0,Сценарии!E7*1000000*Допущения!C6,IF(MAX(0,Допущения!C5-Сценарии!E7*1000000*Допущения!C7)&gt;=Сценарии!E7*1000000*Допущения!C7,Сценарии!E7*1000000*Допущения!C7,MAX(0,Допущения!C5-Сценарии!E7*1000000*Допущения!C7)+(Сценарии!E7*1000000-MAX(0,Допущения!C5-Сценарии!E7*1000000*Допущения!C7)/Допущения!C7)*Допущения!C6)))+(Сценарии!E7*1000000-MAX(0,MAX(0,Допущения!C5-Сценарии!E7*1000000*Допущения!C7)-IF(MAX(0,Допущения!C5-Сценарии!E7*1000000*Допущения!C7)=0,Сценарии!E7*1000000*Допущения!C6,IF(MAX(0,Допущения!C5-Сценарии!E7*1000000*Допущения!C7)&gt;=Сценарии!E7*1000000*Допущения!C7,Сценарии!E7*1000000*Допущения!C7,MAX(0,Допущения!C5-Сценарии!E7*1000000*Допущения!C7)+(Сценарии!E7*1000000-MAX(0,Допущения!C5-Сценарии!E7*1000000*Допущения!C7)/Допущения!C7)*Допущения!C6)))/Допущения!C7)*Допущения!C6))*(C5/Допущения!C5)</f>
        <v>2148827.27272727</v>
      </c>
    </row>
    <row r="30" customFormat="false" ht="9.75" hidden="false" customHeight="true" outlineLevel="0" collapsed="false">
      <c r="B30" s="17"/>
      <c r="C30" s="17"/>
      <c r="D30" s="17"/>
      <c r="E30" s="17"/>
    </row>
    <row r="31" customFormat="false" ht="18" hidden="false" customHeight="true" outlineLevel="0" collapsed="false">
      <c r="B31" s="16" t="s">
        <v>32</v>
      </c>
      <c r="C31" s="16"/>
      <c r="D31" s="16"/>
      <c r="E31" s="16"/>
    </row>
    <row r="32" customFormat="false" ht="6" hidden="false" customHeight="true" outlineLevel="0" collapsed="false">
      <c r="B32" s="17"/>
      <c r="C32" s="17"/>
      <c r="D32" s="17"/>
      <c r="E32" s="17"/>
    </row>
    <row r="33" customFormat="false" ht="18" hidden="false" customHeight="true" outlineLevel="0" collapsed="false">
      <c r="B33" s="28" t="s">
        <v>33</v>
      </c>
      <c r="C33" s="21" t="n">
        <f aca="false">Сценарии!C7</f>
        <v>52.72</v>
      </c>
      <c r="D33" s="22" t="n">
        <f aca="false">Сценарии!D7</f>
        <v>65.9</v>
      </c>
      <c r="E33" s="23" t="n">
        <f aca="false">Сценарии!E7</f>
        <v>79.08</v>
      </c>
    </row>
    <row r="34" customFormat="false" ht="18" hidden="false" customHeight="true" outlineLevel="0" collapsed="false">
      <c r="B34" s="28" t="s">
        <v>34</v>
      </c>
      <c r="C34" s="21" t="n">
        <f aca="false">Сценарии!C12</f>
        <v>158.16</v>
      </c>
      <c r="D34" s="22" t="n">
        <f aca="false">Сценарии!D12</f>
        <v>197.7</v>
      </c>
      <c r="E34" s="23" t="n">
        <f aca="false">Сценарии!E12</f>
        <v>237.24</v>
      </c>
    </row>
    <row r="35" customFormat="false" ht="18" hidden="false" customHeight="true" outlineLevel="0" collapsed="false">
      <c r="B35" s="28" t="s">
        <v>35</v>
      </c>
      <c r="C35" s="21" t="n">
        <f aca="false">Сценарии!C13</f>
        <v>77.4984</v>
      </c>
      <c r="D35" s="22" t="n">
        <f aca="false">Сценарии!D13</f>
        <v>96.873</v>
      </c>
      <c r="E35" s="23" t="n">
        <f aca="false">Сценарии!E13</f>
        <v>116.2476</v>
      </c>
    </row>
    <row r="36" customFormat="false" ht="27.75" hidden="false" customHeight="true" outlineLevel="0" collapsed="false">
      <c r="B36" s="24" t="s">
        <v>36</v>
      </c>
      <c r="C36" s="27" t="n">
        <f aca="false">Сценарии!C13*1000000*(C5/Допущения!C5)</f>
        <v>1174218.18181818</v>
      </c>
      <c r="D36" s="27" t="n">
        <f aca="false">Сценарии!D13*1000000*(C5/Допущения!C5)</f>
        <v>1467772.72727273</v>
      </c>
      <c r="E36" s="27" t="n">
        <f aca="false">Сценарии!E13*1000000*(C5/Допущения!C5)</f>
        <v>1761327.27272727</v>
      </c>
    </row>
    <row r="37" customFormat="false" ht="18" hidden="false" customHeight="true" outlineLevel="0" collapsed="false">
      <c r="B37" s="34" t="s">
        <v>37</v>
      </c>
      <c r="C37" s="35" t="n">
        <f aca="false">Сценарии!C13*1000000*(C5/Допущения!C5)-C5</f>
        <v>174218.181818182</v>
      </c>
      <c r="D37" s="36" t="n">
        <f aca="false">Сценарии!D13*1000000*(C5/Допущения!C5)-C5</f>
        <v>467772.727272727</v>
      </c>
      <c r="E37" s="37" t="n">
        <f aca="false">Сценарии!E13*1000000*(C5/Допущения!C5)-C5</f>
        <v>761327.272727273</v>
      </c>
    </row>
    <row r="38" customFormat="false" ht="9.75" hidden="false" customHeight="true" outlineLevel="0" collapsed="false">
      <c r="B38" s="17"/>
      <c r="C38" s="17"/>
      <c r="D38" s="17"/>
      <c r="E38" s="17"/>
    </row>
    <row r="39" customFormat="false" ht="18" hidden="false" customHeight="true" outlineLevel="0" collapsed="false">
      <c r="B39" s="16" t="s">
        <v>38</v>
      </c>
      <c r="C39" s="16"/>
      <c r="D39" s="16"/>
      <c r="E39" s="16"/>
    </row>
    <row r="40" customFormat="false" ht="6" hidden="false" customHeight="true" outlineLevel="0" collapsed="false">
      <c r="B40" s="17"/>
      <c r="C40" s="17"/>
      <c r="D40" s="17"/>
      <c r="E40" s="17"/>
    </row>
    <row r="41" customFormat="false" ht="21.75" hidden="false" customHeight="true" outlineLevel="0" collapsed="false">
      <c r="B41" s="38" t="s">
        <v>39</v>
      </c>
      <c r="C41" s="39" t="n">
        <f aca="false">Сценарии!C7*1000000*Допущения!C7*(C5/Допущения!C5)+IF(MAX(0,Допущения!C5-Сценарии!C7*1000000*Допущения!C7)=0,Сценарии!C7*1000000*Допущения!C6,IF(MAX(0,Допущения!C5-Сценарии!C7*1000000*Допущения!C7)&gt;=Сценарии!C7*1000000*Допущения!C7,Сценарии!C7*1000000*Допущения!C7,MAX(0,Допущения!C5-Сценарии!C7*1000000*Допущения!C7)+(Сценарии!C7*1000000-MAX(0,Допущения!C5-Сценарии!C7*1000000*Допущения!C7)/Допущения!C7)*Допущения!C6))*(C5/Допущения!C5)+IF(MAX(0,MAX(0,Допущения!C5-Сценарии!C7*1000000*Допущения!C7)-IF(MAX(0,Допущения!C5-Сценарии!C7*1000000*Допущения!C7)=0,Сценарии!C7*1000000*Допущения!C6,IF(MAX(0,Допущения!C5-Сценарии!C7*1000000*Допущения!C7)&gt;=Сценарии!C7*1000000*Допущения!C7,Сценарии!C7*1000000*Допущения!C7,MAX(0,Допущения!C5-Сценарии!C7*1000000*Допущения!C7)+(Сценарии!C7*1000000-MAX(0,Допущения!C5-Сценарии!C7*1000000*Допущения!C7)/Допущения!C7)*Допущения!C6)))=0,Сценарии!C7*1000000*Допущения!C6,IF(MAX(0,MAX(0,Допущения!C5-Сценарии!C7*1000000*Допущения!C7)-IF(MAX(0,Допущения!C5-Сценарии!C7*1000000*Допущения!C7)=0,Сценарии!C7*1000000*Допущения!C6,IF(MAX(0,Допущения!C5-Сценарии!C7*1000000*Допущения!C7)&gt;=Сценарии!C7*1000000*Допущения!C7,Сценарии!C7*1000000*Допущения!C7,MAX(0,Допущения!C5-Сценарии!C7*1000000*Допущения!C7)+(Сценарии!C7*1000000-MAX(0,Допущения!C5-Сценарии!C7*1000000*Допущения!C7)/Допущения!C7)*Допущения!C6)))&gt;=Сценарии!C7*1000000*Допущения!C7,Сценарии!C7*1000000*Допущения!C7,MAX(0,MAX(0,Допущения!C5-Сценарии!C7*1000000*Допущения!C7)-IF(MAX(0,Допущения!C5-Сценарии!C7*1000000*Допущения!C7)=0,Сценарии!C7*1000000*Допущения!C6,IF(MAX(0,Допущения!C5-Сценарии!C7*1000000*Допущения!C7)&gt;=Сценарии!C7*1000000*Допущения!C7,Сценарии!C7*1000000*Допущения!C7,MAX(0,Допущения!C5-Сценарии!C7*1000000*Допущения!C7)+(Сценарии!C7*1000000-MAX(0,Допущения!C5-Сценарии!C7*1000000*Допущения!C7)/Допущения!C7)*Допущения!C6)))+(Сценарии!C7*1000000-MAX(0,MAX(0,Допущения!C5-Сценарии!C7*1000000*Допущения!C7)-IF(MAX(0,Допущения!C5-Сценарии!C7*1000000*Допущения!C7)=0,Сценарии!C7*1000000*Допущения!C6,IF(MAX(0,Допущения!C5-Сценарии!C7*1000000*Допущения!C7)&gt;=Сценарии!C7*1000000*Допущения!C7,Сценарии!C7*1000000*Допущения!C7,MAX(0,Допущения!C5-Сценарии!C7*1000000*Допущения!C7)+(Сценарии!C7*1000000-MAX(0,Допущения!C5-Сценарии!C7*1000000*Допущения!C7)/Допущения!C7)*Допущения!C6)))/Допущения!C7)*Допущения!C6))*(C5/Допущения!C5)</f>
        <v>1561718.18181818</v>
      </c>
      <c r="D41" s="40" t="n">
        <f aca="false">Сценарии!D7*1000000*Допущения!C7*(C5/Допущения!C5)+IF(MAX(0,Допущения!C5-Сценарии!D7*1000000*Допущения!C7)=0,Сценарии!D7*1000000*Допущения!C6,IF(MAX(0,Допущения!C5-Сценарии!D7*1000000*Допущения!C7)&gt;=Сценарии!D7*1000000*Допущения!C7,Сценарии!D7*1000000*Допущения!C7,MAX(0,Допущения!C5-Сценарии!D7*1000000*Допущения!C7)+(Сценарии!D7*1000000-MAX(0,Допущения!C5-Сценарии!D7*1000000*Допущения!C7)/Допущения!C7)*Допущения!C6))*(C5/Допущения!C5)+IF(MAX(0,MAX(0,Допущения!C5-Сценарии!D7*1000000*Допущения!C7)-IF(MAX(0,Допущения!C5-Сценарии!D7*1000000*Допущения!C7)=0,Сценарии!D7*1000000*Допущения!C6,IF(MAX(0,Допущения!C5-Сценарии!D7*1000000*Допущения!C7)&gt;=Сценарии!D7*1000000*Допущения!C7,Сценарии!D7*1000000*Допущения!C7,MAX(0,Допущения!C5-Сценарии!D7*1000000*Допущения!C7)+(Сценарии!D7*1000000-MAX(0,Допущения!C5-Сценарии!D7*1000000*Допущения!C7)/Допущения!C7)*Допущения!C6)))=0,Сценарии!D7*1000000*Допущения!C6,IF(MAX(0,MAX(0,Допущения!C5-Сценарии!D7*1000000*Допущения!C7)-IF(MAX(0,Допущения!C5-Сценарии!D7*1000000*Допущения!C7)=0,Сценарии!D7*1000000*Допущения!C6,IF(MAX(0,Допущения!C5-Сценарии!D7*1000000*Допущения!C7)&gt;=Сценарии!D7*1000000*Допущения!C7,Сценарии!D7*1000000*Допущения!C7,MAX(0,Допущения!C5-Сценарии!D7*1000000*Допущения!C7)+(Сценарии!D7*1000000-MAX(0,Допущения!C5-Сценарии!D7*1000000*Допущения!C7)/Допущения!C7)*Допущения!C6)))&gt;=Сценарии!D7*1000000*Допущения!C7,Сценарии!D7*1000000*Допущения!C7,MAX(0,MAX(0,Допущения!C5-Сценарии!D7*1000000*Допущения!C7)-IF(MAX(0,Допущения!C5-Сценарии!D7*1000000*Допущения!C7)=0,Сценарии!D7*1000000*Допущения!C6,IF(MAX(0,Допущения!C5-Сценарии!D7*1000000*Допущения!C7)&gt;=Сценарии!D7*1000000*Допущения!C7,Сценарии!D7*1000000*Допущения!C7,MAX(0,Допущения!C5-Сценарии!D7*1000000*Допущения!C7)+(Сценарии!D7*1000000-MAX(0,Допущения!C5-Сценарии!D7*1000000*Допущения!C7)/Допущения!C7)*Допущения!C6)))+(Сценарии!D7*1000000-MAX(0,MAX(0,Допущения!C5-Сценарии!D7*1000000*Допущения!C7)-IF(MAX(0,Допущения!C5-Сценарии!D7*1000000*Допущения!C7)=0,Сценарии!D7*1000000*Допущения!C6,IF(MAX(0,Допущения!C5-Сценарии!D7*1000000*Допущения!C7)&gt;=Сценарии!D7*1000000*Допущения!C7,Сценарии!D7*1000000*Допущения!C7,MAX(0,Допущения!C5-Сценарии!D7*1000000*Допущения!C7)+(Сценарии!D7*1000000-MAX(0,Допущения!C5-Сценарии!D7*1000000*Допущения!C7)/Допущения!C7)*Допущения!C6)))/Допущения!C7)*Допущения!C6))*(C5/Допущения!C5)</f>
        <v>1855272.72727273</v>
      </c>
      <c r="E41" s="41" t="n">
        <f aca="false">Сценарии!E7*1000000*Допущения!C7*(C5/Допущения!C5)+IF(MAX(0,Допущения!C5-Сценарии!E7*1000000*Допущения!C7)=0,Сценарии!E7*1000000*Допущения!C6,IF(MAX(0,Допущения!C5-Сценарии!E7*1000000*Допущения!C7)&gt;=Сценарии!E7*1000000*Допущения!C7,Сценарии!E7*1000000*Допущения!C7,MAX(0,Допущения!C5-Сценарии!E7*1000000*Допущения!C7)+(Сценарии!E7*1000000-MAX(0,Допущения!C5-Сценарии!E7*1000000*Допущения!C7)/Допущения!C7)*Допущения!C6))*(C5/Допущения!C5)+IF(MAX(0,MAX(0,Допущения!C5-Сценарии!E7*1000000*Допущения!C7)-IF(MAX(0,Допущения!C5-Сценарии!E7*1000000*Допущения!C7)=0,Сценарии!E7*1000000*Допущения!C6,IF(MAX(0,Допущения!C5-Сценарии!E7*1000000*Допущения!C7)&gt;=Сценарии!E7*1000000*Допущения!C7,Сценарии!E7*1000000*Допущения!C7,MAX(0,Допущения!C5-Сценарии!E7*1000000*Допущения!C7)+(Сценарии!E7*1000000-MAX(0,Допущения!C5-Сценарии!E7*1000000*Допущения!C7)/Допущения!C7)*Допущения!C6)))=0,Сценарии!E7*1000000*Допущения!C6,IF(MAX(0,MAX(0,Допущения!C5-Сценарии!E7*1000000*Допущения!C7)-IF(MAX(0,Допущения!C5-Сценарии!E7*1000000*Допущения!C7)=0,Сценарии!E7*1000000*Допущения!C6,IF(MAX(0,Допущения!C5-Сценарии!E7*1000000*Допущения!C7)&gt;=Сценарии!E7*1000000*Допущения!C7,Сценарии!E7*1000000*Допущения!C7,MAX(0,Допущения!C5-Сценарии!E7*1000000*Допущения!C7)+(Сценарии!E7*1000000-MAX(0,Допущения!C5-Сценарии!E7*1000000*Допущения!C7)/Допущения!C7)*Допущения!C6)))&gt;=Сценарии!E7*1000000*Допущения!C7,Сценарии!E7*1000000*Допущения!C7,MAX(0,MAX(0,Допущения!C5-Сценарии!E7*1000000*Допущения!C7)-IF(MAX(0,Допущения!C5-Сценарии!E7*1000000*Допущения!C7)=0,Сценарии!E7*1000000*Допущения!C6,IF(MAX(0,Допущения!C5-Сценарии!E7*1000000*Допущения!C7)&gt;=Сценарии!E7*1000000*Допущения!C7,Сценарии!E7*1000000*Допущения!C7,MAX(0,Допущения!C5-Сценарии!E7*1000000*Допущения!C7)+(Сценарии!E7*1000000-MAX(0,Допущения!C5-Сценарии!E7*1000000*Допущения!C7)/Допущения!C7)*Допущения!C6)))+(Сценарии!E7*1000000-MAX(0,MAX(0,Допущения!C5-Сценарии!E7*1000000*Допущения!C7)-IF(MAX(0,Допущения!C5-Сценарии!E7*1000000*Допущения!C7)=0,Сценарии!E7*1000000*Допущения!C6,IF(MAX(0,Допущения!C5-Сценарии!E7*1000000*Допущения!C7)&gt;=Сценарии!E7*1000000*Допущения!C7,Сценарии!E7*1000000*Допущения!C7,MAX(0,Допущения!C5-Сценарии!E7*1000000*Допущения!C7)+(Сценарии!E7*1000000-MAX(0,Допущения!C5-Сценарии!E7*1000000*Допущения!C7)/Допущения!C7)*Допущения!C6)))/Допущения!C7)*Допущения!C6))*(C5/Допущения!C5)</f>
        <v>2148827.27272727</v>
      </c>
    </row>
    <row r="42" customFormat="false" ht="21.75" hidden="false" customHeight="true" outlineLevel="0" collapsed="false">
      <c r="B42" s="38" t="s">
        <v>40</v>
      </c>
      <c r="C42" s="39" t="n">
        <f aca="false">Сценарии!C13*1000000*(C5/Допущения!C5)</f>
        <v>1174218.18181818</v>
      </c>
      <c r="D42" s="40" t="n">
        <f aca="false">Сценарии!D13*1000000*(C5/Допущения!C5)</f>
        <v>1467772.72727273</v>
      </c>
      <c r="E42" s="41" t="n">
        <f aca="false">Сценарии!E13*1000000*(C5/Допущения!C5)</f>
        <v>1761327.27272727</v>
      </c>
    </row>
    <row r="43" customFormat="false" ht="31.5" hidden="false" customHeight="true" outlineLevel="0" collapsed="false">
      <c r="B43" s="42" t="s">
        <v>41</v>
      </c>
      <c r="C43" s="43" t="n">
        <f aca="false">(Сценарии!C7*1000000*Допущения!C7+IF(MAX(0,Допущения!C5-Сценарии!C7*1000000*Допущения!C7)=0,Сценарии!C7*1000000*Допущения!C6,IF(MAX(0,Допущения!C5-Сценарии!C7*1000000*Допущения!C7)&gt;=Сценарии!C7*1000000*Допущения!C7,Сценарии!C7*1000000*Допущения!C7,MAX(0,Допущения!C5-Сценарии!C7*1000000*Допущения!C7)+(Сценарии!C7*1000000-MAX(0,Допущения!C5-Сценарии!C7*1000000*Допущения!C7)/Допущения!C7)*Допущения!C6))+IF(MAX(0,MAX(0,Допущения!C5-Сценарии!C7*1000000*Допущения!C7)-IF(MAX(0,Допущения!C5-Сценарии!C7*1000000*Допущения!C7)=0,Сценарии!C7*1000000*Допущения!C6,IF(MAX(0,Допущения!C5-Сценарии!C7*1000000*Допущения!C7)&gt;=Сценарии!C7*1000000*Допущения!C7,Сценарии!C7*1000000*Допущения!C7,MAX(0,Допущения!C5-Сценарии!C7*1000000*Допущения!C7)+(Сценарии!C7*1000000-MAX(0,Допущения!C5-Сценарии!C7*1000000*Допущения!C7)/Допущения!C7)*Допущения!C6)))=0,Сценарии!C7*1000000*Допущения!C6,IF(MAX(0,MAX(0,Допущения!C5-Сценарии!C7*1000000*Допущения!C7)-IF(MAX(0,Допущения!C5-Сценарии!C7*1000000*Допущения!C7)=0,Сценарии!C7*1000000*Допущения!C6,IF(MAX(0,Допущения!C5-Сценарии!C7*1000000*Допущения!C7)&gt;=Сценарии!C7*1000000*Допущения!C7,Сценарии!C7*1000000*Допущения!C7,MAX(0,Допущения!C5-Сценарии!C7*1000000*Допущения!C7)+(Сценарии!C7*1000000-MAX(0,Допущения!C5-Сценарии!C7*1000000*Допущения!C7)/Допущения!C7)*Допущения!C6)))&gt;=Сценарии!C7*1000000*Допущения!C7,Сценарии!C7*1000000*Допущения!C7,MAX(0,MAX(0,Допущения!C5-Сценарии!C7*1000000*Допущения!C7)-IF(MAX(0,Допущения!C5-Сценарии!C7*1000000*Допущения!C7)=0,Сценарии!C7*1000000*Допущения!C6,IF(MAX(0,Допущения!C5-Сценарии!C7*1000000*Допущения!C7)&gt;=Сценарии!C7*1000000*Допущения!C7,Сценарии!C7*1000000*Допущения!C7,MAX(0,Допущения!C5-Сценарии!C7*1000000*Допущения!C7)+(Сценарии!C7*1000000-MAX(0,Допущения!C5-Сценарии!C7*1000000*Допущения!C7)/Допущения!C7)*Допущения!C6)))+(Сценарии!C7*1000000-MAX(0,MAX(0,Допущения!C5-Сценарии!C7*1000000*Допущения!C7)-IF(MAX(0,Допущения!C5-Сценарии!C7*1000000*Допущения!C7)=0,Сценарии!C7*1000000*Допущения!C6,IF(MAX(0,Допущения!C5-Сценарии!C7*1000000*Допущения!C7)&gt;=Сценарии!C7*1000000*Допущения!C7,Сценарии!C7*1000000*Допущения!C7,MAX(0,Допущения!C5-Сценарии!C7*1000000*Допущения!C7)+(Сценарии!C7*1000000-MAX(0,Допущения!C5-Сценарии!C7*1000000*Допущения!C7)/Допущения!C7)*Допущения!C6)))/Допущения!C7)*Допущения!C6)))*(C5/Допущения!C5)+Сценарии!C13*1000000*(C5/Допущения!C5)</f>
        <v>2735936.36363636</v>
      </c>
      <c r="D43" s="43" t="n">
        <f aca="false">(Сценарии!D7*1000000*Допущения!C7+IF(MAX(0,Допущения!C5-Сценарии!D7*1000000*Допущения!C7)=0,Сценарии!D7*1000000*Допущения!C6,IF(MAX(0,Допущения!C5-Сценарии!D7*1000000*Допущения!C7)&gt;=Сценарии!D7*1000000*Допущения!C7,Сценарии!D7*1000000*Допущения!C7,MAX(0,Допущения!C5-Сценарии!D7*1000000*Допущения!C7)+(Сценарии!D7*1000000-MAX(0,Допущения!C5-Сценарии!D7*1000000*Допущения!C7)/Допущения!C7)*Допущения!C6))+IF(MAX(0,MAX(0,Допущения!C5-Сценарии!D7*1000000*Допущения!C7)-IF(MAX(0,Допущения!C5-Сценарии!D7*1000000*Допущения!C7)=0,Сценарии!D7*1000000*Допущения!C6,IF(MAX(0,Допущения!C5-Сценарии!D7*1000000*Допущения!C7)&gt;=Сценарии!D7*1000000*Допущения!C7,Сценарии!D7*1000000*Допущения!C7,MAX(0,Допущения!C5-Сценарии!D7*1000000*Допущения!C7)+(Сценарии!D7*1000000-MAX(0,Допущения!C5-Сценарии!D7*1000000*Допущения!C7)/Допущения!C7)*Допущения!C6)))=0,Сценарии!D7*1000000*Допущения!C6,IF(MAX(0,MAX(0,Допущения!C5-Сценарии!D7*1000000*Допущения!C7)-IF(MAX(0,Допущения!C5-Сценарии!D7*1000000*Допущения!C7)=0,Сценарии!D7*1000000*Допущения!C6,IF(MAX(0,Допущения!C5-Сценарии!D7*1000000*Допущения!C7)&gt;=Сценарии!D7*1000000*Допущения!C7,Сценарии!D7*1000000*Допущения!C7,MAX(0,Допущения!C5-Сценарии!D7*1000000*Допущения!C7)+(Сценарии!D7*1000000-MAX(0,Допущения!C5-Сценарии!D7*1000000*Допущения!C7)/Допущения!C7)*Допущения!C6)))&gt;=Сценарии!D7*1000000*Допущения!C7,Сценарии!D7*1000000*Допущения!C7,MAX(0,MAX(0,Допущения!C5-Сценарии!D7*1000000*Допущения!C7)-IF(MAX(0,Допущения!C5-Сценарии!D7*1000000*Допущения!C7)=0,Сценарии!D7*1000000*Допущения!C6,IF(MAX(0,Допущения!C5-Сценарии!D7*1000000*Допущения!C7)&gt;=Сценарии!D7*1000000*Допущения!C7,Сценарии!D7*1000000*Допущения!C7,MAX(0,Допущения!C5-Сценарии!D7*1000000*Допущения!C7)+(Сценарии!D7*1000000-MAX(0,Допущения!C5-Сценарии!D7*1000000*Допущения!C7)/Допущения!C7)*Допущения!C6)))+(Сценарии!D7*1000000-MAX(0,MAX(0,Допущения!C5-Сценарии!D7*1000000*Допущения!C7)-IF(MAX(0,Допущения!C5-Сценарии!D7*1000000*Допущения!C7)=0,Сценарии!D7*1000000*Допущения!C6,IF(MAX(0,Допущения!C5-Сценарии!D7*1000000*Допущения!C7)&gt;=Сценарии!D7*1000000*Допущения!C7,Сценарии!D7*1000000*Допущения!C7,MAX(0,Допущения!C5-Сценарии!D7*1000000*Допущения!C7)+(Сценарии!D7*1000000-MAX(0,Допущения!C5-Сценарии!D7*1000000*Допущения!C7)/Допущения!C7)*Допущения!C6)))/Допущения!C7)*Допущения!C6)))*(C5/Допущения!C5)+Сценарии!D13*1000000*(C5/Допущения!C5)</f>
        <v>3323045.45454545</v>
      </c>
      <c r="E43" s="43" t="n">
        <f aca="false">(Сценарии!E7*1000000*Допущения!C7+IF(MAX(0,Допущения!C5-Сценарии!E7*1000000*Допущения!C7)=0,Сценарии!E7*1000000*Допущения!C6,IF(MAX(0,Допущения!C5-Сценарии!E7*1000000*Допущения!C7)&gt;=Сценарии!E7*1000000*Допущения!C7,Сценарии!E7*1000000*Допущения!C7,MAX(0,Допущения!C5-Сценарии!E7*1000000*Допущения!C7)+(Сценарии!E7*1000000-MAX(0,Допущения!C5-Сценарии!E7*1000000*Допущения!C7)/Допущения!C7)*Допущения!C6))+IF(MAX(0,MAX(0,Допущения!C5-Сценарии!E7*1000000*Допущения!C7)-IF(MAX(0,Допущения!C5-Сценарии!E7*1000000*Допущения!C7)=0,Сценарии!E7*1000000*Допущения!C6,IF(MAX(0,Допущения!C5-Сценарии!E7*1000000*Допущения!C7)&gt;=Сценарии!E7*1000000*Допущения!C7,Сценарии!E7*1000000*Допущения!C7,MAX(0,Допущения!C5-Сценарии!E7*1000000*Допущения!C7)+(Сценарии!E7*1000000-MAX(0,Допущения!C5-Сценарии!E7*1000000*Допущения!C7)/Допущения!C7)*Допущения!C6)))=0,Сценарии!E7*1000000*Допущения!C6,IF(MAX(0,MAX(0,Допущения!C5-Сценарии!E7*1000000*Допущения!C7)-IF(MAX(0,Допущения!C5-Сценарии!E7*1000000*Допущения!C7)=0,Сценарии!E7*1000000*Допущения!C6,IF(MAX(0,Допущения!C5-Сценарии!E7*1000000*Допущения!C7)&gt;=Сценарии!E7*1000000*Допущения!C7,Сценарии!E7*1000000*Допущения!C7,MAX(0,Допущения!C5-Сценарии!E7*1000000*Допущения!C7)+(Сценарии!E7*1000000-MAX(0,Допущения!C5-Сценарии!E7*1000000*Допущения!C7)/Допущения!C7)*Допущения!C6)))&gt;=Сценарии!E7*1000000*Допущения!C7,Сценарии!E7*1000000*Допущения!C7,MAX(0,MAX(0,Допущения!C5-Сценарии!E7*1000000*Допущения!C7)-IF(MAX(0,Допущения!C5-Сценарии!E7*1000000*Допущения!C7)=0,Сценарии!E7*1000000*Допущения!C6,IF(MAX(0,Допущения!C5-Сценарии!E7*1000000*Допущения!C7)&gt;=Сценарии!E7*1000000*Допущения!C7,Сценарии!E7*1000000*Допущения!C7,MAX(0,Допущения!C5-Сценарии!E7*1000000*Допущения!C7)+(Сценарии!E7*1000000-MAX(0,Допущения!C5-Сценарии!E7*1000000*Допущения!C7)/Допущения!C7)*Допущения!C6)))+(Сценарии!E7*1000000-MAX(0,MAX(0,Допущения!C5-Сценарии!E7*1000000*Допущения!C7)-IF(MAX(0,Допущения!C5-Сценарии!E7*1000000*Допущения!C7)=0,Сценарии!E7*1000000*Допущения!C6,IF(MAX(0,Допущения!C5-Сценарии!E7*1000000*Допущения!C7)&gt;=Сценарии!E7*1000000*Допущения!C7,Сценарии!E7*1000000*Допущения!C7,MAX(0,Допущения!C5-Сценарии!E7*1000000*Допущения!C7)+(Сценарии!E7*1000000-MAX(0,Допущения!C5-Сценарии!E7*1000000*Допущения!C7)/Допущения!C7)*Допущения!C6)))/Допущения!C7)*Допущения!C6)))*(C5/Допущения!C5)+Сценарии!E13*1000000*(C5/Допущения!C5)</f>
        <v>3910154.54545455</v>
      </c>
    </row>
    <row r="44" customFormat="false" ht="25.5" hidden="false" customHeight="true" outlineLevel="0" collapsed="false">
      <c r="B44" s="44" t="s">
        <v>42</v>
      </c>
      <c r="C44" s="45" t="n">
        <f aca="false">C43/C5</f>
        <v>2.73593636363636</v>
      </c>
      <c r="D44" s="45" t="n">
        <f aca="false">D43/C5</f>
        <v>3.32304545454545</v>
      </c>
      <c r="E44" s="45" t="n">
        <f aca="false">E43/C5</f>
        <v>3.91015454545455</v>
      </c>
    </row>
    <row r="45" customFormat="false" ht="18" hidden="false" customHeight="true" outlineLevel="0" collapsed="false">
      <c r="B45" s="46" t="s">
        <v>43</v>
      </c>
      <c r="C45" s="47" t="n">
        <f aca="false">C5</f>
        <v>1000000</v>
      </c>
      <c r="D45" s="48" t="n">
        <f aca="false">C5</f>
        <v>1000000</v>
      </c>
      <c r="E45" s="49" t="n">
        <f aca="false">C5</f>
        <v>1000000</v>
      </c>
    </row>
    <row r="46" customFormat="false" ht="18" hidden="false" customHeight="true" outlineLevel="0" collapsed="false">
      <c r="B46" s="34" t="s">
        <v>44</v>
      </c>
      <c r="C46" s="35" t="n">
        <f aca="false">(Сценарии!C7*1000000*Допущения!C7+IF(MAX(0,Допущения!C5-Сценарии!C7*1000000*Допущения!C7)=0,Сценарии!C7*1000000*Допущения!C6,IF(MAX(0,Допущения!C5-Сценарии!C7*1000000*Допущения!C7)&gt;=Сценарии!C7*1000000*Допущения!C7,Сценарии!C7*1000000*Допущения!C7,MAX(0,Допущения!C5-Сценарии!C7*1000000*Допущения!C7)+(Сценарии!C7*1000000-MAX(0,Допущения!C5-Сценарии!C7*1000000*Допущения!C7)/Допущения!C7)*Допущения!C6))+IF(MAX(0,MAX(0,Допущения!C5-Сценарии!C7*1000000*Допущения!C7)-IF(MAX(0,Допущения!C5-Сценарии!C7*1000000*Допущения!C7)=0,Сценарии!C7*1000000*Допущения!C6,IF(MAX(0,Допущения!C5-Сценарии!C7*1000000*Допущения!C7)&gt;=Сценарии!C7*1000000*Допущения!C7,Сценарии!C7*1000000*Допущения!C7,MAX(0,Допущения!C5-Сценарии!C7*1000000*Допущения!C7)+(Сценарии!C7*1000000-MAX(0,Допущения!C5-Сценарии!C7*1000000*Допущения!C7)/Допущения!C7)*Допущения!C6)))=0,Сценарии!C7*1000000*Допущения!C6,IF(MAX(0,MAX(0,Допущения!C5-Сценарии!C7*1000000*Допущения!C7)-IF(MAX(0,Допущения!C5-Сценарии!C7*1000000*Допущения!C7)=0,Сценарии!C7*1000000*Допущения!C6,IF(MAX(0,Допущения!C5-Сценарии!C7*1000000*Допущения!C7)&gt;=Сценарии!C7*1000000*Допущения!C7,Сценарии!C7*1000000*Допущения!C7,MAX(0,Допущения!C5-Сценарии!C7*1000000*Допущения!C7)+(Сценарии!C7*1000000-MAX(0,Допущения!C5-Сценарии!C7*1000000*Допущения!C7)/Допущения!C7)*Допущения!C6)))&gt;=Сценарии!C7*1000000*Допущения!C7,Сценарии!C7*1000000*Допущения!C7,MAX(0,MAX(0,Допущения!C5-Сценарии!C7*1000000*Допущения!C7)-IF(MAX(0,Допущения!C5-Сценарии!C7*1000000*Допущения!C7)=0,Сценарии!C7*1000000*Допущения!C6,IF(MAX(0,Допущения!C5-Сценарии!C7*1000000*Допущения!C7)&gt;=Сценарии!C7*1000000*Допущения!C7,Сценарии!C7*1000000*Допущения!C7,MAX(0,Допущения!C5-Сценарии!C7*1000000*Допущения!C7)+(Сценарии!C7*1000000-MAX(0,Допущения!C5-Сценарии!C7*1000000*Допущения!C7)/Допущения!C7)*Допущения!C6)))+(Сценарии!C7*1000000-MAX(0,MAX(0,Допущения!C5-Сценарии!C7*1000000*Допущения!C7)-IF(MAX(0,Допущения!C5-Сценарии!C7*1000000*Допущения!C7)=0,Сценарии!C7*1000000*Допущения!C6,IF(MAX(0,Допущения!C5-Сценарии!C7*1000000*Допущения!C7)&gt;=Сценарии!C7*1000000*Допущения!C7,Сценарии!C7*1000000*Допущения!C7,MAX(0,Допущения!C5-Сценарии!C7*1000000*Допущения!C7)+(Сценарии!C7*1000000-MAX(0,Допущения!C5-Сценарии!C7*1000000*Допущения!C7)/Допущения!C7)*Допущения!C6)))/Допущения!C7)*Допущения!C6)))*(C5/Допущения!C5)+Сценарии!C13*1000000*(C5/Допущения!C5)-C5</f>
        <v>1735936.36363636</v>
      </c>
      <c r="D46" s="36" t="n">
        <f aca="false">(Сценарии!D7*1000000*Допущения!C7+IF(MAX(0,Допущения!C5-Сценарии!D7*1000000*Допущения!C7)=0,Сценарии!D7*1000000*Допущения!C6,IF(MAX(0,Допущения!C5-Сценарии!D7*1000000*Допущения!C7)&gt;=Сценарии!D7*1000000*Допущения!C7,Сценарии!D7*1000000*Допущения!C7,MAX(0,Допущения!C5-Сценарии!D7*1000000*Допущения!C7)+(Сценарии!D7*1000000-MAX(0,Допущения!C5-Сценарии!D7*1000000*Допущения!C7)/Допущения!C7)*Допущения!C6))+IF(MAX(0,MAX(0,Допущения!C5-Сценарии!D7*1000000*Допущения!C7)-IF(MAX(0,Допущения!C5-Сценарии!D7*1000000*Допущения!C7)=0,Сценарии!D7*1000000*Допущения!C6,IF(MAX(0,Допущения!C5-Сценарии!D7*1000000*Допущения!C7)&gt;=Сценарии!D7*1000000*Допущения!C7,Сценарии!D7*1000000*Допущения!C7,MAX(0,Допущения!C5-Сценарии!D7*1000000*Допущения!C7)+(Сценарии!D7*1000000-MAX(0,Допущения!C5-Сценарии!D7*1000000*Допущения!C7)/Допущения!C7)*Допущения!C6)))=0,Сценарии!D7*1000000*Допущения!C6,IF(MAX(0,MAX(0,Допущения!C5-Сценарии!D7*1000000*Допущения!C7)-IF(MAX(0,Допущения!C5-Сценарии!D7*1000000*Допущения!C7)=0,Сценарии!D7*1000000*Допущения!C6,IF(MAX(0,Допущения!C5-Сценарии!D7*1000000*Допущения!C7)&gt;=Сценарии!D7*1000000*Допущения!C7,Сценарии!D7*1000000*Допущения!C7,MAX(0,Допущения!C5-Сценарии!D7*1000000*Допущения!C7)+(Сценарии!D7*1000000-MAX(0,Допущения!C5-Сценарии!D7*1000000*Допущения!C7)/Допущения!C7)*Допущения!C6)))&gt;=Сценарии!D7*1000000*Допущения!C7,Сценарии!D7*1000000*Допущения!C7,MAX(0,MAX(0,Допущения!C5-Сценарии!D7*1000000*Допущения!C7)-IF(MAX(0,Допущения!C5-Сценарии!D7*1000000*Допущения!C7)=0,Сценарии!D7*1000000*Допущения!C6,IF(MAX(0,Допущения!C5-Сценарии!D7*1000000*Допущения!C7)&gt;=Сценарии!D7*1000000*Допущения!C7,Сценарии!D7*1000000*Допущения!C7,MAX(0,Допущения!C5-Сценарии!D7*1000000*Допущения!C7)+(Сценарии!D7*1000000-MAX(0,Допущения!C5-Сценарии!D7*1000000*Допущения!C7)/Допущения!C7)*Допущения!C6)))+(Сценарии!D7*1000000-MAX(0,MAX(0,Допущения!C5-Сценарии!D7*1000000*Допущения!C7)-IF(MAX(0,Допущения!C5-Сценарии!D7*1000000*Допущения!C7)=0,Сценарии!D7*1000000*Допущения!C6,IF(MAX(0,Допущения!C5-Сценарии!D7*1000000*Допущения!C7)&gt;=Сценарии!D7*1000000*Допущения!C7,Сценарии!D7*1000000*Допущения!C7,MAX(0,Допущения!C5-Сценарии!D7*1000000*Допущения!C7)+(Сценарии!D7*1000000-MAX(0,Допущения!C5-Сценарии!D7*1000000*Допущения!C7)/Допущения!C7)*Допущения!C6)))/Допущения!C7)*Допущения!C6)))*(C5/Допущения!C5)+Сценарии!D13*1000000*(C5/Допущения!C5)-C5</f>
        <v>2323045.45454545</v>
      </c>
      <c r="E46" s="37" t="n">
        <f aca="false">(Сценарии!E7*1000000*Допущения!C7+IF(MAX(0,Допущения!C5-Сценарии!E7*1000000*Допущения!C7)=0,Сценарии!E7*1000000*Допущения!C6,IF(MAX(0,Допущения!C5-Сценарии!E7*1000000*Допущения!C7)&gt;=Сценарии!E7*1000000*Допущения!C7,Сценарии!E7*1000000*Допущения!C7,MAX(0,Допущения!C5-Сценарии!E7*1000000*Допущения!C7)+(Сценарии!E7*1000000-MAX(0,Допущения!C5-Сценарии!E7*1000000*Допущения!C7)/Допущения!C7)*Допущения!C6))+IF(MAX(0,MAX(0,Допущения!C5-Сценарии!E7*1000000*Допущения!C7)-IF(MAX(0,Допущения!C5-Сценарии!E7*1000000*Допущения!C7)=0,Сценарии!E7*1000000*Допущения!C6,IF(MAX(0,Допущения!C5-Сценарии!E7*1000000*Допущения!C7)&gt;=Сценарии!E7*1000000*Допущения!C7,Сценарии!E7*1000000*Допущения!C7,MAX(0,Допущения!C5-Сценарии!E7*1000000*Допущения!C7)+(Сценарии!E7*1000000-MAX(0,Допущения!C5-Сценарии!E7*1000000*Допущения!C7)/Допущения!C7)*Допущения!C6)))=0,Сценарии!E7*1000000*Допущения!C6,IF(MAX(0,MAX(0,Допущения!C5-Сценарии!E7*1000000*Допущения!C7)-IF(MAX(0,Допущения!C5-Сценарии!E7*1000000*Допущения!C7)=0,Сценарии!E7*1000000*Допущения!C6,IF(MAX(0,Допущения!C5-Сценарии!E7*1000000*Допущения!C7)&gt;=Сценарии!E7*1000000*Допущения!C7,Сценарии!E7*1000000*Допущения!C7,MAX(0,Допущения!C5-Сценарии!E7*1000000*Допущения!C7)+(Сценарии!E7*1000000-MAX(0,Допущения!C5-Сценарии!E7*1000000*Допущения!C7)/Допущения!C7)*Допущения!C6)))&gt;=Сценарии!E7*1000000*Допущения!C7,Сценарии!E7*1000000*Допущения!C7,MAX(0,MAX(0,Допущения!C5-Сценарии!E7*1000000*Допущения!C7)-IF(MAX(0,Допущения!C5-Сценарии!E7*1000000*Допущения!C7)=0,Сценарии!E7*1000000*Допущения!C6,IF(MAX(0,Допущения!C5-Сценарии!E7*1000000*Допущения!C7)&gt;=Сценарии!E7*1000000*Допущения!C7,Сценарии!E7*1000000*Допущения!C7,MAX(0,Допущения!C5-Сценарии!E7*1000000*Допущения!C7)+(Сценарии!E7*1000000-MAX(0,Допущения!C5-Сценарии!E7*1000000*Допущения!C7)/Допущения!C7)*Допущения!C6)))+(Сценарии!E7*1000000-MAX(0,MAX(0,Допущения!C5-Сценарии!E7*1000000*Допущения!C7)-IF(MAX(0,Допущения!C5-Сценарии!E7*1000000*Допущения!C7)=0,Сценарии!E7*1000000*Допущения!C6,IF(MAX(0,Допущения!C5-Сценарии!E7*1000000*Допущения!C7)&gt;=Сценарии!E7*1000000*Допущения!C7,Сценарии!E7*1000000*Допущения!C7,MAX(0,Допущения!C5-Сценарии!E7*1000000*Допущения!C7)+(Сценарии!E7*1000000-MAX(0,Допущения!C5-Сценарии!E7*1000000*Допущения!C7)/Допущения!C7)*Допущения!C6)))/Допущения!C7)*Допущения!C6)))*(C5/Допущения!C5)+Сценарии!E13*1000000*(C5/Допущения!C5)-C5</f>
        <v>2910154.54545455</v>
      </c>
    </row>
    <row r="47" customFormat="false" ht="9.75" hidden="false" customHeight="true" outlineLevel="0" collapsed="false">
      <c r="B47" s="17"/>
      <c r="C47" s="17"/>
      <c r="D47" s="17"/>
      <c r="E47" s="17"/>
    </row>
    <row r="48" customFormat="false" ht="51.75" hidden="false" customHeight="true" outlineLevel="0" collapsed="false">
      <c r="B48" s="50" t="s">
        <v>45</v>
      </c>
      <c r="C48" s="50"/>
      <c r="D48" s="50"/>
      <c r="E48" s="50"/>
    </row>
  </sheetData>
  <mergeCells count="10">
    <mergeCell ref="B1:E1"/>
    <mergeCell ref="B2:E2"/>
    <mergeCell ref="D5:E5"/>
    <mergeCell ref="C6:E6"/>
    <mergeCell ref="C7:E7"/>
    <mergeCell ref="C8:E8"/>
    <mergeCell ref="B11:E11"/>
    <mergeCell ref="B31:E31"/>
    <mergeCell ref="B39:E39"/>
    <mergeCell ref="B48:E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951"/>
    <pageSetUpPr fitToPage="false"/>
  </sheetPr>
  <dimension ref="B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5" min="3" style="1" width="20"/>
    <col collapsed="false" customWidth="true" hidden="false" outlineLevel="0" max="6" min="6" style="1" width="2"/>
  </cols>
  <sheetData>
    <row r="1" customFormat="false" ht="39.75" hidden="false" customHeight="true" outlineLevel="0" collapsed="false">
      <c r="B1" s="51" t="s">
        <v>46</v>
      </c>
      <c r="C1" s="51"/>
      <c r="D1" s="51"/>
      <c r="E1" s="51"/>
    </row>
    <row r="2" customFormat="false" ht="19.5" hidden="false" customHeight="true" outlineLevel="0" collapsed="false">
      <c r="B2" s="52" t="s">
        <v>47</v>
      </c>
      <c r="C2" s="52"/>
      <c r="D2" s="52"/>
      <c r="E2" s="52"/>
    </row>
    <row r="3" customFormat="false" ht="15.75" hidden="false" customHeight="true" outlineLevel="0" collapsed="false">
      <c r="B3" s="53" t="s">
        <v>48</v>
      </c>
      <c r="C3" s="53"/>
      <c r="D3" s="53"/>
      <c r="E3" s="53"/>
    </row>
    <row r="5" customFormat="false" ht="18" hidden="false" customHeight="true" outlineLevel="0" collapsed="false">
      <c r="B5" s="54" t="s">
        <v>49</v>
      </c>
      <c r="C5" s="54"/>
      <c r="D5" s="55" t="s">
        <v>50</v>
      </c>
      <c r="E5" s="55"/>
    </row>
    <row r="6" customFormat="false" ht="15" hidden="false" customHeight="true" outlineLevel="0" collapsed="false">
      <c r="B6" s="56" t="s">
        <v>51</v>
      </c>
      <c r="C6" s="57" t="n">
        <f aca="false">Допущения!C5</f>
        <v>66000000</v>
      </c>
      <c r="D6" s="58" t="s">
        <v>52</v>
      </c>
      <c r="E6" s="59" t="n">
        <f aca="false">Допущения!C12</f>
        <v>2</v>
      </c>
    </row>
    <row r="7" customFormat="false" ht="15" hidden="false" customHeight="true" outlineLevel="0" collapsed="false">
      <c r="B7" s="56" t="s">
        <v>53</v>
      </c>
      <c r="C7" s="60" t="n">
        <f aca="false">Допущения!C6</f>
        <v>0.49</v>
      </c>
      <c r="D7" s="58" t="s">
        <v>54</v>
      </c>
      <c r="E7" s="59" t="n">
        <f aca="false">Допущения!C13</f>
        <v>100</v>
      </c>
    </row>
    <row r="8" customFormat="false" ht="15" hidden="false" customHeight="true" outlineLevel="0" collapsed="false">
      <c r="B8" s="56" t="s">
        <v>55</v>
      </c>
      <c r="C8" s="60" t="n">
        <f aca="false">Допущения!C7</f>
        <v>0.8</v>
      </c>
      <c r="D8" s="58" t="s">
        <v>56</v>
      </c>
      <c r="E8" s="61" t="n">
        <f aca="false">IF(Допущения!C12=1,Сценарии!C7,IF(Допущения!C12=2,Сценарии!D7,Сценарии!E7))</f>
        <v>65.9</v>
      </c>
    </row>
    <row r="9" customFormat="false" ht="15" hidden="false" customHeight="true" outlineLevel="0" collapsed="false">
      <c r="B9" s="56" t="s">
        <v>57</v>
      </c>
      <c r="C9" s="62" t="n">
        <f aca="false">Допущения!C9</f>
        <v>3</v>
      </c>
      <c r="D9" s="58" t="s">
        <v>58</v>
      </c>
      <c r="E9" s="61" t="n">
        <f aca="false">IF(Допущения!C12=1,Сценарии!C8,IF(Допущения!C12=2,Сценарии!D8,Сценарии!E8))</f>
        <v>52.72</v>
      </c>
    </row>
    <row r="11" customFormat="false" ht="18" hidden="false" customHeight="true" outlineLevel="0" collapsed="false">
      <c r="B11" s="55" t="s">
        <v>59</v>
      </c>
      <c r="C11" s="55"/>
      <c r="D11" s="55" t="s">
        <v>60</v>
      </c>
      <c r="E11" s="55"/>
    </row>
    <row r="12" customFormat="false" ht="15" hidden="false" customHeight="true" outlineLevel="0" collapsed="false">
      <c r="B12" s="56" t="s">
        <v>61</v>
      </c>
      <c r="C12" s="57" t="n">
        <f aca="false">Допущения!C21</f>
        <v>949000</v>
      </c>
      <c r="D12" s="56" t="s">
        <v>62</v>
      </c>
      <c r="E12" s="57" t="n">
        <f aca="false">CAPEX!C4</f>
        <v>5000000</v>
      </c>
    </row>
    <row r="13" customFormat="false" ht="15" hidden="false" customHeight="true" outlineLevel="0" collapsed="false">
      <c r="B13" s="56" t="s">
        <v>63</v>
      </c>
      <c r="C13" s="57" t="n">
        <f aca="false">Допущения!C22</f>
        <v>270000</v>
      </c>
      <c r="D13" s="56" t="s">
        <v>64</v>
      </c>
      <c r="E13" s="57" t="n">
        <f aca="false">CAPEX!C5</f>
        <v>22000000</v>
      </c>
    </row>
    <row r="14" customFormat="false" ht="15" hidden="false" customHeight="true" outlineLevel="0" collapsed="false">
      <c r="B14" s="56" t="s">
        <v>65</v>
      </c>
      <c r="C14" s="57" t="n">
        <f aca="false">Допущения!C23</f>
        <v>604000</v>
      </c>
      <c r="D14" s="56" t="s">
        <v>66</v>
      </c>
      <c r="E14" s="57" t="n">
        <f aca="false">CAPEX!C6</f>
        <v>12000000</v>
      </c>
    </row>
    <row r="15" customFormat="false" ht="15" hidden="false" customHeight="true" outlineLevel="0" collapsed="false">
      <c r="B15" s="56" t="s">
        <v>67</v>
      </c>
      <c r="C15" s="57" t="n">
        <f aca="false">Допущения!C24</f>
        <v>75000</v>
      </c>
      <c r="D15" s="56" t="s">
        <v>68</v>
      </c>
      <c r="E15" s="57" t="n">
        <f aca="false">CAPEX!C7</f>
        <v>10000000</v>
      </c>
    </row>
    <row r="16" customFormat="false" ht="15" hidden="false" customHeight="true" outlineLevel="0" collapsed="false">
      <c r="B16" s="56" t="s">
        <v>69</v>
      </c>
      <c r="C16" s="57" t="n">
        <f aca="false">Допущения!C25</f>
        <v>290000</v>
      </c>
      <c r="D16" s="56" t="s">
        <v>70</v>
      </c>
      <c r="E16" s="57" t="n">
        <f aca="false">CAPEX!C8</f>
        <v>8000000</v>
      </c>
    </row>
    <row r="17" customFormat="false" ht="15" hidden="false" customHeight="true" outlineLevel="0" collapsed="false">
      <c r="B17" s="56" t="s">
        <v>71</v>
      </c>
      <c r="C17" s="57" t="n">
        <f aca="false">Допущения!C26</f>
        <v>659000</v>
      </c>
      <c r="D17" s="56" t="s">
        <v>72</v>
      </c>
      <c r="E17" s="57" t="n">
        <f aca="false">CAPEX!C9</f>
        <v>6000000</v>
      </c>
    </row>
    <row r="18" customFormat="false" ht="15" hidden="false" customHeight="true" outlineLevel="0" collapsed="false">
      <c r="B18" s="56" t="s">
        <v>73</v>
      </c>
      <c r="C18" s="60" t="n">
        <f aca="false">Допущения!C27</f>
        <v>0.694415173867229</v>
      </c>
      <c r="D18" s="56" t="s">
        <v>74</v>
      </c>
      <c r="E18" s="57" t="n">
        <f aca="false">CAPEX!C10</f>
        <v>3000000</v>
      </c>
    </row>
    <row r="19" customFormat="false" ht="15" hidden="false" customHeight="true" outlineLevel="0" collapsed="false">
      <c r="B19" s="56"/>
      <c r="D19" s="58" t="s">
        <v>75</v>
      </c>
      <c r="E19" s="57" t="n">
        <f aca="false">CAPEX!C11</f>
        <v>66000000</v>
      </c>
    </row>
    <row r="21" customFormat="false" ht="18" hidden="false" customHeight="true" outlineLevel="0" collapsed="false">
      <c r="B21" s="55" t="s">
        <v>76</v>
      </c>
      <c r="C21" s="55"/>
      <c r="D21" s="55"/>
      <c r="E21" s="55"/>
    </row>
    <row r="22" customFormat="false" ht="15" hidden="false" customHeight="true" outlineLevel="0" collapsed="false">
      <c r="B22" s="63" t="s">
        <v>77</v>
      </c>
      <c r="C22" s="64" t="s">
        <v>78</v>
      </c>
      <c r="D22" s="64" t="s">
        <v>4</v>
      </c>
      <c r="E22" s="64" t="s">
        <v>5</v>
      </c>
    </row>
    <row r="23" customFormat="false" ht="15" hidden="false" customHeight="true" outlineLevel="0" collapsed="false">
      <c r="B23" s="56" t="s">
        <v>79</v>
      </c>
      <c r="C23" s="65" t="n">
        <f aca="false">Сценарии!C7</f>
        <v>52.72</v>
      </c>
      <c r="D23" s="65" t="n">
        <f aca="false">Сценарии!D7</f>
        <v>65.9</v>
      </c>
      <c r="E23" s="65" t="n">
        <f aca="false">Сценарии!E7</f>
        <v>79.08</v>
      </c>
    </row>
    <row r="24" customFormat="false" ht="15" hidden="false" customHeight="true" outlineLevel="0" collapsed="false">
      <c r="B24" s="56" t="s">
        <v>80</v>
      </c>
      <c r="C24" s="65" t="n">
        <f aca="false">Сценарии!C8</f>
        <v>42.176</v>
      </c>
      <c r="D24" s="65" t="n">
        <f aca="false">Сценарии!D8</f>
        <v>52.72</v>
      </c>
      <c r="E24" s="65" t="n">
        <f aca="false">Сценарии!E8</f>
        <v>63.264</v>
      </c>
    </row>
    <row r="25" customFormat="false" ht="15" hidden="false" customHeight="true" outlineLevel="0" collapsed="false">
      <c r="B25" s="56" t="s">
        <v>81</v>
      </c>
      <c r="C25" s="60" t="n">
        <f aca="false">Сценарии!C9</f>
        <v>0.639030303030303</v>
      </c>
      <c r="D25" s="60" t="n">
        <f aca="false">Сценарии!D9</f>
        <v>0.798787878787879</v>
      </c>
      <c r="E25" s="60" t="n">
        <f aca="false">Сценарии!E9</f>
        <v>0.958545454545455</v>
      </c>
    </row>
    <row r="26" customFormat="false" ht="15" hidden="false" customHeight="true" outlineLevel="0" collapsed="false">
      <c r="B26" s="56" t="s">
        <v>82</v>
      </c>
      <c r="C26" s="62" t="n">
        <f aca="false">Сценарии!C10</f>
        <v>1.56487101669196</v>
      </c>
      <c r="D26" s="62" t="n">
        <f aca="false">Сценарии!D10</f>
        <v>1.25189681335357</v>
      </c>
      <c r="E26" s="62" t="n">
        <f aca="false">Сценарии!E10</f>
        <v>1.04324734446131</v>
      </c>
    </row>
    <row r="27" customFormat="false" ht="15" hidden="false" customHeight="true" outlineLevel="0" collapsed="false">
      <c r="B27" s="56" t="s">
        <v>83</v>
      </c>
      <c r="C27" s="65" t="n">
        <f aca="false">Сценарии!C12</f>
        <v>158.16</v>
      </c>
      <c r="D27" s="65" t="n">
        <f aca="false">Сценарии!D12</f>
        <v>197.7</v>
      </c>
      <c r="E27" s="65" t="n">
        <f aca="false">Сценарии!E12</f>
        <v>237.24</v>
      </c>
    </row>
    <row r="28" customFormat="false" ht="15" hidden="false" customHeight="true" outlineLevel="0" collapsed="false">
      <c r="B28" s="56" t="s">
        <v>84</v>
      </c>
      <c r="C28" s="65" t="n">
        <f aca="false">Сценарии!C13</f>
        <v>77.4984</v>
      </c>
      <c r="D28" s="65" t="n">
        <f aca="false">Сценарии!D13</f>
        <v>96.873</v>
      </c>
      <c r="E28" s="65" t="n">
        <f aca="false">Сценарии!E13</f>
        <v>116.2476</v>
      </c>
    </row>
    <row r="29" customFormat="false" ht="15" hidden="false" customHeight="true" outlineLevel="0" collapsed="false">
      <c r="B29" s="56" t="s">
        <v>85</v>
      </c>
      <c r="C29" s="66" t="n">
        <f aca="false">Оценка!C15</f>
        <v>187.6832</v>
      </c>
      <c r="D29" s="66" t="n">
        <f aca="false">Оценка!D15</f>
        <v>234.604</v>
      </c>
      <c r="E29" s="66" t="n">
        <f aca="false">Оценка!E15</f>
        <v>281.5248</v>
      </c>
    </row>
    <row r="30" customFormat="false" ht="15" hidden="false" customHeight="true" outlineLevel="0" collapsed="false">
      <c r="B30" s="56" t="s">
        <v>86</v>
      </c>
      <c r="C30" s="67" t="n">
        <f aca="false">Оценка!C16</f>
        <v>2.84368484848485</v>
      </c>
      <c r="D30" s="67" t="n">
        <f aca="false">Оценка!D16</f>
        <v>3.55460606060606</v>
      </c>
      <c r="E30" s="67" t="n">
        <f aca="false">Оценка!E16</f>
        <v>4.26552727272727</v>
      </c>
    </row>
    <row r="32" customFormat="false" ht="15.75" hidden="false" customHeight="true" outlineLevel="0" collapsed="false">
      <c r="B32" s="68" t="s">
        <v>87</v>
      </c>
      <c r="C32" s="68"/>
      <c r="D32" s="68"/>
      <c r="E32" s="68"/>
    </row>
    <row r="33" customFormat="false" ht="15" hidden="false" customHeight="true" outlineLevel="0" collapsed="false">
      <c r="B33" s="69" t="s">
        <v>88</v>
      </c>
      <c r="C33" s="70" t="s">
        <v>89</v>
      </c>
      <c r="D33" s="70"/>
      <c r="E33" s="70"/>
    </row>
    <row r="34" customFormat="false" ht="15" hidden="false" customHeight="true" outlineLevel="0" collapsed="false">
      <c r="B34" s="71" t="s">
        <v>88</v>
      </c>
      <c r="C34" s="70" t="s">
        <v>90</v>
      </c>
      <c r="D34" s="70"/>
      <c r="E34" s="70"/>
    </row>
    <row r="35" customFormat="false" ht="15" hidden="false" customHeight="true" outlineLevel="0" collapsed="false">
      <c r="B35" s="72" t="s">
        <v>88</v>
      </c>
      <c r="C35" s="70" t="s">
        <v>91</v>
      </c>
      <c r="D35" s="70"/>
      <c r="E35" s="70"/>
    </row>
    <row r="36" customFormat="false" ht="15" hidden="false" customHeight="true" outlineLevel="0" collapsed="false">
      <c r="B36" s="73" t="s">
        <v>88</v>
      </c>
      <c r="C36" s="70" t="s">
        <v>92</v>
      </c>
      <c r="D36" s="70"/>
      <c r="E36" s="70"/>
    </row>
  </sheetData>
  <mergeCells count="12">
    <mergeCell ref="B1:E1"/>
    <mergeCell ref="B2:E2"/>
    <mergeCell ref="B3:E3"/>
    <mergeCell ref="D5:E5"/>
    <mergeCell ref="B11:C11"/>
    <mergeCell ref="D11:E11"/>
    <mergeCell ref="B21:E21"/>
    <mergeCell ref="B32:E32"/>
    <mergeCell ref="C33:E33"/>
    <mergeCell ref="C34:E34"/>
    <mergeCell ref="C35:E35"/>
    <mergeCell ref="C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B1:E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38"/>
    <col collapsed="false" customWidth="true" hidden="false" outlineLevel="0" max="6" min="6" style="1" width="2"/>
  </cols>
  <sheetData>
    <row r="1" customFormat="false" ht="30" hidden="false" customHeight="true" outlineLevel="0" collapsed="false">
      <c r="B1" s="74" t="s">
        <v>93</v>
      </c>
      <c r="C1" s="74"/>
      <c r="D1" s="74"/>
      <c r="E1" s="74"/>
    </row>
    <row r="2" customFormat="false" ht="15" hidden="false" customHeight="true" outlineLevel="0" collapsed="false">
      <c r="B2" s="75" t="s">
        <v>94</v>
      </c>
      <c r="C2" s="75"/>
      <c r="D2" s="75"/>
      <c r="E2" s="75"/>
    </row>
    <row r="3" customFormat="false" ht="15" hidden="false" customHeight="true" outlineLevel="0" collapsed="false">
      <c r="C3" s="76" t="s">
        <v>95</v>
      </c>
      <c r="E3" s="77" t="s">
        <v>96</v>
      </c>
    </row>
    <row r="4" customFormat="false" ht="15.75" hidden="false" customHeight="true" outlineLevel="0" collapsed="false">
      <c r="B4" s="68" t="s">
        <v>97</v>
      </c>
      <c r="C4" s="68"/>
      <c r="D4" s="68"/>
      <c r="E4" s="68"/>
    </row>
    <row r="5" customFormat="false" ht="15" hidden="false" customHeight="true" outlineLevel="0" collapsed="false">
      <c r="B5" s="56" t="s">
        <v>98</v>
      </c>
      <c r="C5" s="78" t="n">
        <v>66000000</v>
      </c>
      <c r="E5" s="79"/>
    </row>
    <row r="6" customFormat="false" ht="15" hidden="false" customHeight="true" outlineLevel="0" collapsed="false">
      <c r="B6" s="56" t="s">
        <v>99</v>
      </c>
      <c r="C6" s="80" t="n">
        <v>0.49</v>
      </c>
      <c r="E6" s="79"/>
    </row>
    <row r="7" customFormat="false" ht="15" hidden="false" customHeight="true" outlineLevel="0" collapsed="false">
      <c r="B7" s="56" t="s">
        <v>100</v>
      </c>
      <c r="C7" s="80" t="n">
        <v>0.8</v>
      </c>
      <c r="E7" s="79" t="s">
        <v>101</v>
      </c>
    </row>
    <row r="8" customFormat="false" ht="15" hidden="false" customHeight="true" outlineLevel="0" collapsed="false">
      <c r="B8" s="56" t="s">
        <v>102</v>
      </c>
      <c r="C8" s="78" t="n">
        <v>1000000</v>
      </c>
      <c r="E8" s="79"/>
    </row>
    <row r="9" customFormat="false" ht="15" hidden="false" customHeight="true" outlineLevel="0" collapsed="false">
      <c r="B9" s="56" t="s">
        <v>103</v>
      </c>
      <c r="C9" s="81" t="n">
        <v>3</v>
      </c>
      <c r="E9" s="79"/>
    </row>
    <row r="11" customFormat="false" ht="15.75" hidden="false" customHeight="true" outlineLevel="0" collapsed="false">
      <c r="B11" s="82" t="s">
        <v>104</v>
      </c>
      <c r="C11" s="82"/>
      <c r="D11" s="82"/>
      <c r="E11" s="82"/>
    </row>
    <row r="12" customFormat="false" ht="15" hidden="false" customHeight="true" outlineLevel="0" collapsed="false">
      <c r="B12" s="83" t="s">
        <v>105</v>
      </c>
      <c r="C12" s="84" t="n">
        <v>2</v>
      </c>
      <c r="E12" s="85" t="s">
        <v>106</v>
      </c>
    </row>
    <row r="13" customFormat="false" ht="15" hidden="false" customHeight="true" outlineLevel="0" collapsed="false">
      <c r="B13" s="83" t="s">
        <v>107</v>
      </c>
      <c r="C13" s="86" t="n">
        <f aca="false">CHOOSE(C12,C16,C17,C18)</f>
        <v>100</v>
      </c>
      <c r="E13" s="79" t="s">
        <v>108</v>
      </c>
    </row>
    <row r="15" customFormat="false" ht="15.75" hidden="false" customHeight="true" outlineLevel="0" collapsed="false">
      <c r="B15" s="68" t="s">
        <v>109</v>
      </c>
      <c r="C15" s="68"/>
      <c r="D15" s="68"/>
      <c r="E15" s="68"/>
    </row>
    <row r="16" customFormat="false" ht="15" hidden="false" customHeight="true" outlineLevel="0" collapsed="false">
      <c r="B16" s="56" t="s">
        <v>110</v>
      </c>
      <c r="C16" s="87" t="n">
        <v>80</v>
      </c>
      <c r="E16" s="79" t="s">
        <v>111</v>
      </c>
    </row>
    <row r="17" customFormat="false" ht="15" hidden="false" customHeight="true" outlineLevel="0" collapsed="false">
      <c r="B17" s="56" t="s">
        <v>112</v>
      </c>
      <c r="C17" s="87" t="n">
        <v>100</v>
      </c>
      <c r="E17" s="79" t="s">
        <v>113</v>
      </c>
    </row>
    <row r="18" customFormat="false" ht="15" hidden="false" customHeight="true" outlineLevel="0" collapsed="false">
      <c r="B18" s="56" t="s">
        <v>114</v>
      </c>
      <c r="C18" s="87" t="n">
        <v>120</v>
      </c>
      <c r="E18" s="79" t="s">
        <v>115</v>
      </c>
    </row>
    <row r="20" customFormat="false" ht="15.75" hidden="false" customHeight="true" outlineLevel="0" collapsed="false">
      <c r="B20" s="68" t="s">
        <v>116</v>
      </c>
      <c r="C20" s="68"/>
      <c r="D20" s="68"/>
      <c r="E20" s="68"/>
    </row>
    <row r="21" customFormat="false" ht="15" hidden="false" customHeight="true" outlineLevel="0" collapsed="false">
      <c r="B21" s="56" t="s">
        <v>117</v>
      </c>
      <c r="C21" s="88" t="n">
        <f aca="false">C22+C23+C24</f>
        <v>949000</v>
      </c>
      <c r="E21" s="79" t="s">
        <v>118</v>
      </c>
    </row>
    <row r="22" customFormat="false" ht="15" hidden="false" customHeight="true" outlineLevel="0" collapsed="false">
      <c r="B22" s="56" t="s">
        <v>119</v>
      </c>
      <c r="C22" s="78" t="n">
        <v>270000</v>
      </c>
      <c r="E22" s="79" t="s">
        <v>120</v>
      </c>
    </row>
    <row r="23" customFormat="false" ht="15" hidden="false" customHeight="true" outlineLevel="0" collapsed="false">
      <c r="B23" s="56" t="s">
        <v>121</v>
      </c>
      <c r="C23" s="78" t="n">
        <v>604000</v>
      </c>
      <c r="E23" s="79" t="s">
        <v>122</v>
      </c>
    </row>
    <row r="24" customFormat="false" ht="15" hidden="false" customHeight="true" outlineLevel="0" collapsed="false">
      <c r="B24" s="56" t="s">
        <v>123</v>
      </c>
      <c r="C24" s="78" t="n">
        <v>75000</v>
      </c>
      <c r="E24" s="79"/>
    </row>
    <row r="25" customFormat="false" ht="15" hidden="false" customHeight="true" outlineLevel="0" collapsed="false">
      <c r="B25" s="56" t="s">
        <v>124</v>
      </c>
      <c r="C25" s="78" t="n">
        <v>290000</v>
      </c>
      <c r="E25" s="79" t="s">
        <v>125</v>
      </c>
    </row>
    <row r="26" customFormat="false" ht="15" hidden="false" customHeight="true" outlineLevel="0" collapsed="false">
      <c r="B26" s="58" t="s">
        <v>126</v>
      </c>
      <c r="C26" s="88" t="n">
        <f aca="false">C21-C25</f>
        <v>659000</v>
      </c>
      <c r="E26" s="79" t="s">
        <v>127</v>
      </c>
    </row>
    <row r="27" customFormat="false" ht="15" hidden="false" customHeight="true" outlineLevel="0" collapsed="false">
      <c r="B27" s="56" t="s">
        <v>73</v>
      </c>
      <c r="C27" s="89" t="n">
        <f aca="false">C26/C21</f>
        <v>0.694415173867229</v>
      </c>
      <c r="E27" s="79" t="s">
        <v>128</v>
      </c>
    </row>
    <row r="29" customFormat="false" ht="15.75" hidden="false" customHeight="true" outlineLevel="0" collapsed="false">
      <c r="B29" s="68" t="s">
        <v>129</v>
      </c>
      <c r="C29" s="68"/>
      <c r="D29" s="68"/>
      <c r="E29" s="68"/>
    </row>
    <row r="30" customFormat="false" ht="15" hidden="false" customHeight="true" outlineLevel="0" collapsed="false">
      <c r="B30" s="70" t="s">
        <v>130</v>
      </c>
      <c r="C30" s="70"/>
      <c r="D30" s="70"/>
      <c r="E30" s="70"/>
    </row>
    <row r="31" customFormat="false" ht="15" hidden="false" customHeight="true" outlineLevel="0" collapsed="false">
      <c r="B31" s="56" t="s">
        <v>131</v>
      </c>
      <c r="C31" s="80" t="n">
        <v>0</v>
      </c>
      <c r="E31" s="79" t="s">
        <v>132</v>
      </c>
    </row>
    <row r="32" customFormat="false" ht="15" hidden="false" customHeight="true" outlineLevel="0" collapsed="false">
      <c r="B32" s="56" t="s">
        <v>133</v>
      </c>
      <c r="C32" s="80" t="n">
        <v>0</v>
      </c>
      <c r="E32" s="79" t="s">
        <v>132</v>
      </c>
    </row>
    <row r="33" customFormat="false" ht="15" hidden="false" customHeight="true" outlineLevel="0" collapsed="false">
      <c r="B33" s="56" t="s">
        <v>134</v>
      </c>
      <c r="C33" s="80" t="n">
        <v>0</v>
      </c>
      <c r="E33" s="79" t="s">
        <v>132</v>
      </c>
    </row>
    <row r="34" customFormat="false" ht="15" hidden="false" customHeight="true" outlineLevel="0" collapsed="false">
      <c r="B34" s="56" t="s">
        <v>135</v>
      </c>
      <c r="C34" s="80" t="n">
        <v>0</v>
      </c>
      <c r="E34" s="79" t="s">
        <v>132</v>
      </c>
    </row>
    <row r="35" customFormat="false" ht="15" hidden="false" customHeight="true" outlineLevel="0" collapsed="false">
      <c r="B35" s="56" t="s">
        <v>136</v>
      </c>
      <c r="C35" s="90" t="n">
        <v>0.15</v>
      </c>
      <c r="E35" s="79" t="s">
        <v>137</v>
      </c>
    </row>
    <row r="36" customFormat="false" ht="15" hidden="false" customHeight="true" outlineLevel="0" collapsed="false">
      <c r="B36" s="56" t="s">
        <v>138</v>
      </c>
      <c r="C36" s="90" t="n">
        <v>0.2</v>
      </c>
      <c r="E36" s="79" t="s">
        <v>137</v>
      </c>
    </row>
    <row r="37" customFormat="false" ht="15" hidden="false" customHeight="true" outlineLevel="0" collapsed="false">
      <c r="B37" s="56" t="s">
        <v>139</v>
      </c>
      <c r="C37" s="90" t="n">
        <v>0.15</v>
      </c>
      <c r="E37" s="79" t="s">
        <v>137</v>
      </c>
    </row>
    <row r="38" customFormat="false" ht="15" hidden="false" customHeight="true" outlineLevel="0" collapsed="false">
      <c r="B38" s="56" t="s">
        <v>140</v>
      </c>
      <c r="C38" s="90" t="n">
        <v>0.15</v>
      </c>
      <c r="E38" s="79" t="s">
        <v>137</v>
      </c>
    </row>
    <row r="39" customFormat="false" ht="15" hidden="false" customHeight="true" outlineLevel="0" collapsed="false">
      <c r="B39" s="56" t="s">
        <v>141</v>
      </c>
      <c r="C39" s="90" t="n">
        <v>0.25</v>
      </c>
      <c r="E39" s="79" t="s">
        <v>137</v>
      </c>
    </row>
    <row r="40" customFormat="false" ht="15" hidden="false" customHeight="true" outlineLevel="0" collapsed="false">
      <c r="B40" s="56" t="s">
        <v>142</v>
      </c>
      <c r="C40" s="90" t="n">
        <v>0.1</v>
      </c>
      <c r="E40" s="79" t="s">
        <v>137</v>
      </c>
    </row>
    <row r="41" customFormat="false" ht="15" hidden="false" customHeight="true" outlineLevel="0" collapsed="false">
      <c r="B41" s="56" t="s">
        <v>143</v>
      </c>
      <c r="C41" s="80" t="n">
        <v>0</v>
      </c>
      <c r="E41" s="79" t="s">
        <v>132</v>
      </c>
    </row>
    <row r="42" customFormat="false" ht="15" hidden="false" customHeight="true" outlineLevel="0" collapsed="false">
      <c r="B42" s="56" t="s">
        <v>144</v>
      </c>
      <c r="C42" s="80" t="n">
        <v>0</v>
      </c>
      <c r="E42" s="79" t="s">
        <v>132</v>
      </c>
    </row>
    <row r="43" customFormat="false" ht="15" hidden="false" customHeight="true" outlineLevel="0" collapsed="false">
      <c r="B43" s="58" t="s">
        <v>145</v>
      </c>
      <c r="C43" s="89" t="n">
        <f aca="false">SUM(C31:C42)</f>
        <v>1</v>
      </c>
      <c r="E43" s="91" t="s">
        <v>146</v>
      </c>
    </row>
    <row r="45" customFormat="false" ht="15.75" hidden="false" customHeight="true" outlineLevel="0" collapsed="false">
      <c r="B45" s="92" t="s">
        <v>147</v>
      </c>
      <c r="C45" s="92"/>
      <c r="D45" s="92"/>
      <c r="E45" s="92"/>
    </row>
    <row r="46" customFormat="false" ht="15" hidden="false" customHeight="true" outlineLevel="0" collapsed="false">
      <c r="B46" s="93" t="s">
        <v>148</v>
      </c>
      <c r="C46" s="93"/>
      <c r="D46" s="93"/>
      <c r="E46" s="93"/>
    </row>
    <row r="47" customFormat="false" ht="15" hidden="false" customHeight="true" outlineLevel="0" collapsed="false">
      <c r="B47" s="56" t="s">
        <v>149</v>
      </c>
      <c r="C47" s="90" t="n">
        <v>0.8</v>
      </c>
      <c r="E47" s="79" t="s">
        <v>150</v>
      </c>
    </row>
    <row r="48" customFormat="false" ht="15" hidden="false" customHeight="true" outlineLevel="0" collapsed="false">
      <c r="B48" s="56" t="s">
        <v>151</v>
      </c>
      <c r="C48" s="90" t="n">
        <v>0.9</v>
      </c>
      <c r="E48" s="79" t="s">
        <v>152</v>
      </c>
    </row>
    <row r="49" customFormat="false" ht="15" hidden="false" customHeight="true" outlineLevel="0" collapsed="false">
      <c r="B49" s="56" t="s">
        <v>153</v>
      </c>
      <c r="C49" s="90" t="n">
        <v>1</v>
      </c>
      <c r="E49" s="79" t="s">
        <v>154</v>
      </c>
    </row>
    <row r="50" customFormat="false" ht="15" hidden="false" customHeight="true" outlineLevel="0" collapsed="false">
      <c r="B50" s="56" t="s">
        <v>155</v>
      </c>
      <c r="C50" s="90" t="n">
        <v>0.08</v>
      </c>
      <c r="E50" s="79" t="s">
        <v>156</v>
      </c>
    </row>
    <row r="51" customFormat="false" ht="15" hidden="false" customHeight="true" outlineLevel="0" collapsed="false">
      <c r="B51" s="56" t="s">
        <v>157</v>
      </c>
      <c r="C51" s="94" t="n">
        <v>300000</v>
      </c>
      <c r="E51" s="79" t="s">
        <v>158</v>
      </c>
    </row>
    <row r="52" customFormat="false" ht="15" hidden="false" customHeight="true" outlineLevel="0" collapsed="false">
      <c r="B52" s="56" t="s">
        <v>159</v>
      </c>
      <c r="C52" s="94" t="n">
        <v>200000</v>
      </c>
      <c r="E52" s="79" t="s">
        <v>160</v>
      </c>
    </row>
    <row r="53" customFormat="false" ht="15" hidden="false" customHeight="true" outlineLevel="0" collapsed="false">
      <c r="B53" s="56" t="s">
        <v>161</v>
      </c>
      <c r="C53" s="94" t="n">
        <v>500000</v>
      </c>
      <c r="E53" s="79" t="s">
        <v>162</v>
      </c>
    </row>
    <row r="54" customFormat="false" ht="15" hidden="false" customHeight="true" outlineLevel="0" collapsed="false">
      <c r="B54" s="56" t="s">
        <v>163</v>
      </c>
      <c r="C54" s="94" t="n">
        <v>9428571</v>
      </c>
      <c r="E54" s="79" t="s">
        <v>164</v>
      </c>
    </row>
  </sheetData>
  <mergeCells count="10">
    <mergeCell ref="B1:E1"/>
    <mergeCell ref="B2:E2"/>
    <mergeCell ref="B4:E4"/>
    <mergeCell ref="B11:E11"/>
    <mergeCell ref="B15:E15"/>
    <mergeCell ref="B20:E20"/>
    <mergeCell ref="B29:E29"/>
    <mergeCell ref="B30:E30"/>
    <mergeCell ref="B45:E45"/>
    <mergeCell ref="B46:E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6C00"/>
    <pageSetUpPr fitToPage="false"/>
  </sheetPr>
  <dimension ref="B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32"/>
    <col collapsed="false" customWidth="true" hidden="false" outlineLevel="0" max="6" min="6" style="1" width="2"/>
  </cols>
  <sheetData>
    <row r="1" customFormat="false" ht="30" hidden="false" customHeight="true" outlineLevel="0" collapsed="false">
      <c r="B1" s="74" t="s">
        <v>165</v>
      </c>
      <c r="C1" s="74"/>
      <c r="D1" s="74"/>
      <c r="E1" s="74"/>
    </row>
    <row r="3" customFormat="false" ht="18" hidden="false" customHeight="true" outlineLevel="0" collapsed="false">
      <c r="B3" s="54" t="s">
        <v>166</v>
      </c>
      <c r="C3" s="54" t="s">
        <v>167</v>
      </c>
      <c r="D3" s="54" t="s">
        <v>168</v>
      </c>
      <c r="E3" s="54" t="s">
        <v>169</v>
      </c>
    </row>
    <row r="4" customFormat="false" ht="15" hidden="false" customHeight="true" outlineLevel="0" collapsed="false">
      <c r="B4" s="56" t="s">
        <v>170</v>
      </c>
      <c r="C4" s="78" t="n">
        <v>5000000</v>
      </c>
      <c r="D4" s="89" t="n">
        <f aca="false">C4/C11</f>
        <v>0.0757575757575758</v>
      </c>
      <c r="E4" s="79" t="s">
        <v>171</v>
      </c>
    </row>
    <row r="5" customFormat="false" ht="15" hidden="false" customHeight="true" outlineLevel="0" collapsed="false">
      <c r="B5" s="56" t="s">
        <v>172</v>
      </c>
      <c r="C5" s="78" t="n">
        <v>22000000</v>
      </c>
      <c r="D5" s="89" t="n">
        <f aca="false">C5/C11</f>
        <v>0.333333333333333</v>
      </c>
      <c r="E5" s="79" t="s">
        <v>173</v>
      </c>
    </row>
    <row r="6" customFormat="false" ht="15" hidden="false" customHeight="true" outlineLevel="0" collapsed="false">
      <c r="B6" s="56" t="s">
        <v>174</v>
      </c>
      <c r="C6" s="78" t="n">
        <v>12000000</v>
      </c>
      <c r="D6" s="89" t="n">
        <f aca="false">C6/C11</f>
        <v>0.181818181818182</v>
      </c>
      <c r="E6" s="79" t="s">
        <v>175</v>
      </c>
    </row>
    <row r="7" customFormat="false" ht="15" hidden="false" customHeight="true" outlineLevel="0" collapsed="false">
      <c r="B7" s="56" t="s">
        <v>176</v>
      </c>
      <c r="C7" s="78" t="n">
        <v>10000000</v>
      </c>
      <c r="D7" s="89" t="n">
        <f aca="false">C7/C11</f>
        <v>0.151515151515152</v>
      </c>
      <c r="E7" s="79" t="s">
        <v>177</v>
      </c>
    </row>
    <row r="8" customFormat="false" ht="15" hidden="false" customHeight="true" outlineLevel="0" collapsed="false">
      <c r="B8" s="56" t="s">
        <v>178</v>
      </c>
      <c r="C8" s="78" t="n">
        <v>8000000</v>
      </c>
      <c r="D8" s="89" t="n">
        <f aca="false">C8/C11</f>
        <v>0.121212121212121</v>
      </c>
      <c r="E8" s="79" t="s">
        <v>179</v>
      </c>
    </row>
    <row r="9" customFormat="false" ht="15" hidden="false" customHeight="true" outlineLevel="0" collapsed="false">
      <c r="B9" s="56" t="s">
        <v>72</v>
      </c>
      <c r="C9" s="78" t="n">
        <v>6000000</v>
      </c>
      <c r="D9" s="89" t="n">
        <f aca="false">C9/C11</f>
        <v>0.0909090909090909</v>
      </c>
      <c r="E9" s="79" t="s">
        <v>180</v>
      </c>
    </row>
    <row r="10" customFormat="false" ht="15" hidden="false" customHeight="true" outlineLevel="0" collapsed="false">
      <c r="B10" s="56" t="s">
        <v>74</v>
      </c>
      <c r="C10" s="78" t="n">
        <v>3000000</v>
      </c>
      <c r="D10" s="89" t="n">
        <f aca="false">C10/C11</f>
        <v>0.0454545454545455</v>
      </c>
      <c r="E10" s="79" t="s">
        <v>181</v>
      </c>
    </row>
    <row r="11" customFormat="false" ht="15" hidden="false" customHeight="true" outlineLevel="0" collapsed="false">
      <c r="B11" s="95" t="s">
        <v>75</v>
      </c>
      <c r="C11" s="88" t="n">
        <f aca="false">SUM(C4:C10)</f>
        <v>66000000</v>
      </c>
      <c r="D11" s="80" t="n">
        <v>1</v>
      </c>
    </row>
    <row r="13" customFormat="false" ht="15.75" hidden="false" customHeight="true" outlineLevel="0" collapsed="false">
      <c r="B13" s="96" t="s">
        <v>182</v>
      </c>
      <c r="C13" s="96"/>
      <c r="D13" s="96"/>
      <c r="E13" s="96"/>
    </row>
    <row r="14" customFormat="false" ht="15" hidden="false" customHeight="true" outlineLevel="0" collapsed="false">
      <c r="B14" s="56" t="s">
        <v>183</v>
      </c>
      <c r="C14" s="88" t="n">
        <f aca="false">C11</f>
        <v>66000000</v>
      </c>
    </row>
    <row r="15" customFormat="false" ht="15" hidden="false" customHeight="true" outlineLevel="0" collapsed="false">
      <c r="B15" s="56" t="s">
        <v>184</v>
      </c>
      <c r="C15" s="57" t="n">
        <f aca="false">Допущения!C5</f>
        <v>66000000</v>
      </c>
    </row>
    <row r="16" customFormat="false" ht="15" hidden="false" customHeight="true" outlineLevel="0" collapsed="false">
      <c r="B16" s="58" t="s">
        <v>185</v>
      </c>
      <c r="C16" s="88" t="n">
        <f aca="false">C11-Допущения!C5</f>
        <v>0</v>
      </c>
    </row>
    <row r="18" customFormat="false" ht="15.75" hidden="false" customHeight="true" outlineLevel="0" collapsed="false">
      <c r="B18" s="68" t="s">
        <v>186</v>
      </c>
      <c r="C18" s="68"/>
      <c r="D18" s="68"/>
      <c r="E18" s="68"/>
    </row>
    <row r="19" customFormat="false" ht="15" hidden="false" customHeight="true" outlineLevel="0" collapsed="false">
      <c r="B19" s="56" t="s">
        <v>187</v>
      </c>
      <c r="C19" s="88" t="n">
        <f aca="false">C5+C6</f>
        <v>34000000</v>
      </c>
    </row>
    <row r="20" customFormat="false" ht="15" hidden="false" customHeight="true" outlineLevel="0" collapsed="false">
      <c r="B20" s="56" t="s">
        <v>188</v>
      </c>
      <c r="C20" s="88" t="n">
        <f aca="false">C7</f>
        <v>10000000</v>
      </c>
    </row>
    <row r="21" customFormat="false" ht="15" hidden="false" customHeight="true" outlineLevel="0" collapsed="false">
      <c r="B21" s="56" t="s">
        <v>189</v>
      </c>
      <c r="C21" s="88" t="n">
        <f aca="false">C8+C9</f>
        <v>14000000</v>
      </c>
    </row>
    <row r="22" customFormat="false" ht="15" hidden="false" customHeight="true" outlineLevel="0" collapsed="false">
      <c r="B22" s="56" t="s">
        <v>190</v>
      </c>
      <c r="C22" s="88" t="n">
        <f aca="false">C4+C10</f>
        <v>8000000</v>
      </c>
    </row>
  </sheetData>
  <mergeCells count="3">
    <mergeCell ref="B1:E1"/>
    <mergeCell ref="B13:E13"/>
    <mergeCell ref="B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B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32"/>
    <col collapsed="false" customWidth="true" hidden="false" outlineLevel="0" max="6" min="6" style="1" width="2"/>
  </cols>
  <sheetData>
    <row r="1" customFormat="false" ht="30" hidden="false" customHeight="true" outlineLevel="0" collapsed="false">
      <c r="B1" s="74" t="s">
        <v>191</v>
      </c>
      <c r="C1" s="74"/>
      <c r="D1" s="74"/>
      <c r="E1" s="74"/>
    </row>
    <row r="3" customFormat="false" ht="15.75" hidden="false" customHeight="true" outlineLevel="0" collapsed="false">
      <c r="B3" s="68" t="s">
        <v>192</v>
      </c>
      <c r="C3" s="68"/>
      <c r="D3" s="68"/>
      <c r="E3" s="68"/>
    </row>
    <row r="4" customFormat="false" ht="18" hidden="false" customHeight="true" outlineLevel="0" collapsed="false">
      <c r="B4" s="54" t="s">
        <v>193</v>
      </c>
      <c r="C4" s="54" t="s">
        <v>194</v>
      </c>
      <c r="D4" s="54" t="s">
        <v>195</v>
      </c>
      <c r="E4" s="54" t="s">
        <v>196</v>
      </c>
    </row>
    <row r="5" customFormat="false" ht="15" hidden="false" customHeight="true" outlineLevel="0" collapsed="false">
      <c r="B5" s="56" t="s">
        <v>197</v>
      </c>
      <c r="C5" s="57" t="n">
        <f aca="false">Допущения!C22</f>
        <v>270000</v>
      </c>
      <c r="D5" s="89" t="n">
        <f aca="false">C5/Допущения!C21</f>
        <v>0.284510010537408</v>
      </c>
      <c r="E5" s="79"/>
    </row>
    <row r="6" customFormat="false" ht="15" hidden="false" customHeight="true" outlineLevel="0" collapsed="false">
      <c r="B6" s="56" t="s">
        <v>198</v>
      </c>
      <c r="C6" s="57" t="n">
        <f aca="false">Допущения!C23</f>
        <v>604000</v>
      </c>
      <c r="D6" s="89" t="n">
        <f aca="false">C6/Допущения!C21</f>
        <v>0.636459430979979</v>
      </c>
      <c r="E6" s="79"/>
    </row>
    <row r="7" customFormat="false" ht="15" hidden="false" customHeight="true" outlineLevel="0" collapsed="false">
      <c r="B7" s="56" t="s">
        <v>199</v>
      </c>
      <c r="C7" s="57" t="n">
        <f aca="false">Допущения!C24</f>
        <v>75000</v>
      </c>
      <c r="D7" s="89" t="n">
        <f aca="false">C7/Допущения!C21</f>
        <v>0.0790305584826133</v>
      </c>
      <c r="E7" s="79"/>
    </row>
    <row r="8" customFormat="false" ht="15" hidden="false" customHeight="true" outlineLevel="0" collapsed="false">
      <c r="B8" s="95" t="s">
        <v>200</v>
      </c>
      <c r="C8" s="57" t="n">
        <f aca="false">Допущения!C21</f>
        <v>949000</v>
      </c>
      <c r="D8" s="89" t="n">
        <f aca="false">C8/C8</f>
        <v>1</v>
      </c>
    </row>
    <row r="10" customFormat="false" ht="15.75" hidden="false" customHeight="true" outlineLevel="0" collapsed="false">
      <c r="B10" s="68" t="s">
        <v>201</v>
      </c>
      <c r="C10" s="68"/>
      <c r="D10" s="68"/>
      <c r="E10" s="68"/>
    </row>
    <row r="11" customFormat="false" ht="18" hidden="false" customHeight="true" outlineLevel="0" collapsed="false">
      <c r="B11" s="54" t="s">
        <v>193</v>
      </c>
      <c r="C11" s="54" t="s">
        <v>194</v>
      </c>
      <c r="D11" s="54" t="s">
        <v>195</v>
      </c>
      <c r="E11" s="54" t="s">
        <v>202</v>
      </c>
    </row>
    <row r="12" customFormat="false" ht="15" hidden="false" customHeight="true" outlineLevel="0" collapsed="false">
      <c r="B12" s="56" t="s">
        <v>203</v>
      </c>
      <c r="C12" s="94" t="n">
        <v>90000</v>
      </c>
      <c r="D12" s="89" t="n">
        <f aca="false">C12/Допущения!C21</f>
        <v>0.0948366701791359</v>
      </c>
      <c r="E12" s="79" t="s">
        <v>204</v>
      </c>
    </row>
    <row r="13" customFormat="false" ht="15" hidden="false" customHeight="true" outlineLevel="0" collapsed="false">
      <c r="B13" s="56" t="s">
        <v>205</v>
      </c>
      <c r="C13" s="94" t="n">
        <v>55000</v>
      </c>
      <c r="D13" s="89" t="n">
        <f aca="false">C13/Допущения!C21</f>
        <v>0.0579557428872497</v>
      </c>
      <c r="E13" s="79" t="s">
        <v>206</v>
      </c>
    </row>
    <row r="14" customFormat="false" ht="15" hidden="false" customHeight="true" outlineLevel="0" collapsed="false">
      <c r="B14" s="56" t="s">
        <v>207</v>
      </c>
      <c r="C14" s="94" t="n">
        <v>30000</v>
      </c>
      <c r="D14" s="89" t="n">
        <f aca="false">C14/Допущения!C21</f>
        <v>0.0316122233930453</v>
      </c>
      <c r="E14" s="79" t="s">
        <v>208</v>
      </c>
    </row>
    <row r="15" customFormat="false" ht="15" hidden="false" customHeight="true" outlineLevel="0" collapsed="false">
      <c r="B15" s="56" t="s">
        <v>209</v>
      </c>
      <c r="C15" s="94" t="n">
        <v>20000</v>
      </c>
      <c r="D15" s="89" t="n">
        <f aca="false">C15/Допущения!C21</f>
        <v>0.0210748155953635</v>
      </c>
      <c r="E15" s="79" t="s">
        <v>210</v>
      </c>
    </row>
    <row r="16" customFormat="false" ht="15" hidden="false" customHeight="true" outlineLevel="0" collapsed="false">
      <c r="B16" s="56" t="s">
        <v>211</v>
      </c>
      <c r="C16" s="94" t="n">
        <v>30000</v>
      </c>
      <c r="D16" s="89" t="n">
        <f aca="false">C16/Допущения!C21</f>
        <v>0.0316122233930453</v>
      </c>
      <c r="E16" s="79" t="s">
        <v>212</v>
      </c>
    </row>
    <row r="17" customFormat="false" ht="15" hidden="false" customHeight="true" outlineLevel="0" collapsed="false">
      <c r="B17" s="97" t="s">
        <v>213</v>
      </c>
      <c r="C17" s="88" t="n">
        <f aca="false">SUM(C12:C16)</f>
        <v>225000</v>
      </c>
      <c r="D17" s="89" t="n">
        <f aca="false">C17/Допущения!C21</f>
        <v>0.23709167544784</v>
      </c>
    </row>
    <row r="18" customFormat="false" ht="15" hidden="false" customHeight="true" outlineLevel="0" collapsed="false">
      <c r="B18" s="95" t="s">
        <v>214</v>
      </c>
      <c r="C18" s="57" t="n">
        <f aca="false">Допущения!C25</f>
        <v>290000</v>
      </c>
      <c r="D18" s="89" t="n">
        <f aca="false">C18/Допущения!C21</f>
        <v>0.305584826132771</v>
      </c>
    </row>
    <row r="19" customFormat="false" ht="15" hidden="false" customHeight="true" outlineLevel="0" collapsed="false">
      <c r="B19" s="98" t="s">
        <v>215</v>
      </c>
      <c r="C19" s="88" t="n">
        <f aca="false">Допущения!C25-SUM(C12:C16)</f>
        <v>65000</v>
      </c>
    </row>
    <row r="21" customFormat="false" ht="15.75" hidden="false" customHeight="true" outlineLevel="0" collapsed="false">
      <c r="B21" s="82" t="s">
        <v>216</v>
      </c>
      <c r="C21" s="82"/>
      <c r="D21" s="82"/>
      <c r="E21" s="82"/>
    </row>
    <row r="22" customFormat="false" ht="18" hidden="false" customHeight="true" outlineLevel="0" collapsed="false">
      <c r="B22" s="54" t="s">
        <v>11</v>
      </c>
      <c r="C22" s="54" t="s">
        <v>194</v>
      </c>
      <c r="D22" s="54" t="s">
        <v>217</v>
      </c>
      <c r="E22" s="54" t="s">
        <v>196</v>
      </c>
    </row>
    <row r="23" customFormat="false" ht="15" hidden="false" customHeight="true" outlineLevel="0" collapsed="false">
      <c r="B23" s="56" t="s">
        <v>218</v>
      </c>
      <c r="C23" s="57" t="n">
        <f aca="false">Допущения!C21</f>
        <v>949000</v>
      </c>
      <c r="D23" s="89" t="n">
        <f aca="false">C23/C23</f>
        <v>1</v>
      </c>
      <c r="E23" s="79"/>
    </row>
    <row r="24" customFormat="false" ht="15" hidden="false" customHeight="true" outlineLevel="0" collapsed="false">
      <c r="B24" s="56" t="s">
        <v>219</v>
      </c>
      <c r="C24" s="57" t="n">
        <f aca="false">Допущения!C25</f>
        <v>290000</v>
      </c>
      <c r="D24" s="89" t="n">
        <f aca="false">C24/C23</f>
        <v>0.305584826132771</v>
      </c>
      <c r="E24" s="79"/>
    </row>
    <row r="25" customFormat="false" ht="15" hidden="false" customHeight="true" outlineLevel="0" collapsed="false">
      <c r="B25" s="95" t="s">
        <v>220</v>
      </c>
      <c r="C25" s="99" t="n">
        <f aca="false">Допущения!C26</f>
        <v>659000</v>
      </c>
      <c r="D25" s="89" t="n">
        <f aca="false">C25/C23</f>
        <v>0.694415173867229</v>
      </c>
      <c r="E25" s="79" t="s">
        <v>127</v>
      </c>
    </row>
    <row r="27" customFormat="false" ht="15.75" hidden="false" customHeight="true" outlineLevel="0" collapsed="false">
      <c r="B27" s="96" t="s">
        <v>221</v>
      </c>
      <c r="C27" s="96"/>
      <c r="D27" s="96"/>
      <c r="E27" s="96"/>
    </row>
    <row r="28" customFormat="false" ht="18" hidden="false" customHeight="true" outlineLevel="0" collapsed="false">
      <c r="B28" s="54" t="s">
        <v>11</v>
      </c>
      <c r="C28" s="54" t="s">
        <v>222</v>
      </c>
      <c r="D28" s="54" t="s">
        <v>223</v>
      </c>
      <c r="E28" s="54" t="s">
        <v>224</v>
      </c>
    </row>
    <row r="29" customFormat="false" ht="15" hidden="false" customHeight="true" outlineLevel="0" collapsed="false">
      <c r="B29" s="56" t="s">
        <v>225</v>
      </c>
      <c r="C29" s="78" t="n">
        <v>949000</v>
      </c>
      <c r="D29" s="57" t="n">
        <f aca="false">Допущения!C21</f>
        <v>949000</v>
      </c>
      <c r="E29" s="100" t="str">
        <f aca="false">IF(C29=D29,"✓ СОВПАДАЕТ","⚠ ПРОВЕРИТЬ")</f>
        <v>✓ СОВПАДАЕТ</v>
      </c>
    </row>
    <row r="30" customFormat="false" ht="15" hidden="false" customHeight="true" outlineLevel="0" collapsed="false">
      <c r="B30" s="56" t="s">
        <v>69</v>
      </c>
      <c r="C30" s="78" t="n">
        <v>290000</v>
      </c>
      <c r="D30" s="57" t="n">
        <f aca="false">Допущения!C25</f>
        <v>290000</v>
      </c>
      <c r="E30" s="100" t="str">
        <f aca="false">IF(C30=D30,"✓ СОВПАДАЕТ","⚠ ПРОВЕРИТЬ")</f>
        <v>✓ СОВПАДАЕТ</v>
      </c>
    </row>
    <row r="31" customFormat="false" ht="15" hidden="false" customHeight="true" outlineLevel="0" collapsed="false">
      <c r="B31" s="56" t="s">
        <v>226</v>
      </c>
      <c r="C31" s="78" t="n">
        <v>659000</v>
      </c>
      <c r="D31" s="57" t="n">
        <f aca="false">Допущения!C26</f>
        <v>659000</v>
      </c>
      <c r="E31" s="100" t="str">
        <f aca="false">IF(C31=D31,"✓ СОВПАДАЕТ","⚠ ПРОВЕРИТЬ")</f>
        <v>✓ СОВПАДАЕТ</v>
      </c>
    </row>
  </sheetData>
  <mergeCells count="5">
    <mergeCell ref="B1:E1"/>
    <mergeCell ref="B3:E3"/>
    <mergeCell ref="B10:E10"/>
    <mergeCell ref="B21:E21"/>
    <mergeCell ref="B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false"/>
  </sheetPr>
  <dimension ref="B1:A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36" min="3" style="1" width="10"/>
    <col collapsed="false" customWidth="true" hidden="false" outlineLevel="0" max="39" min="37" style="1" width="13"/>
    <col collapsed="false" customWidth="true" hidden="false" outlineLevel="0" max="41" min="40" style="1" width="10"/>
  </cols>
  <sheetData>
    <row r="1" customFormat="false" ht="30" hidden="false" customHeight="true" outlineLevel="0" collapsed="false">
      <c r="B1" s="74" t="s">
        <v>227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</row>
    <row r="2" customFormat="false" ht="15.75" hidden="false" customHeight="true" outlineLevel="0" collapsed="false">
      <c r="B2" s="101" t="s">
        <v>228</v>
      </c>
      <c r="C2" s="102" t="s">
        <v>229</v>
      </c>
      <c r="D2" s="102" t="s">
        <v>229</v>
      </c>
      <c r="E2" s="102" t="s">
        <v>229</v>
      </c>
      <c r="F2" s="102" t="s">
        <v>229</v>
      </c>
      <c r="G2" s="102" t="s">
        <v>229</v>
      </c>
      <c r="H2" s="102" t="s">
        <v>229</v>
      </c>
      <c r="I2" s="103" t="s">
        <v>229</v>
      </c>
      <c r="J2" s="103" t="s">
        <v>229</v>
      </c>
      <c r="K2" s="103" t="s">
        <v>230</v>
      </c>
      <c r="L2" s="103" t="s">
        <v>230</v>
      </c>
      <c r="M2" s="103" t="s">
        <v>230</v>
      </c>
      <c r="N2" s="103" t="s">
        <v>230</v>
      </c>
      <c r="O2" s="102" t="s">
        <v>230</v>
      </c>
      <c r="P2" s="102" t="s">
        <v>230</v>
      </c>
      <c r="Q2" s="102" t="s">
        <v>230</v>
      </c>
      <c r="R2" s="102" t="s">
        <v>230</v>
      </c>
      <c r="S2" s="102" t="s">
        <v>230</v>
      </c>
      <c r="T2" s="102" t="s">
        <v>230</v>
      </c>
      <c r="U2" s="103" t="s">
        <v>230</v>
      </c>
      <c r="V2" s="103" t="s">
        <v>230</v>
      </c>
      <c r="W2" s="103" t="s">
        <v>231</v>
      </c>
      <c r="X2" s="103" t="s">
        <v>231</v>
      </c>
      <c r="Y2" s="103" t="s">
        <v>231</v>
      </c>
      <c r="Z2" s="103" t="s">
        <v>231</v>
      </c>
      <c r="AA2" s="102" t="s">
        <v>231</v>
      </c>
      <c r="AB2" s="102" t="s">
        <v>231</v>
      </c>
      <c r="AC2" s="102" t="s">
        <v>231</v>
      </c>
      <c r="AD2" s="102" t="s">
        <v>231</v>
      </c>
      <c r="AE2" s="102" t="s">
        <v>231</v>
      </c>
      <c r="AF2" s="102" t="s">
        <v>231</v>
      </c>
      <c r="AG2" s="103" t="s">
        <v>231</v>
      </c>
      <c r="AH2" s="103" t="s">
        <v>231</v>
      </c>
      <c r="AI2" s="103" t="s">
        <v>232</v>
      </c>
      <c r="AJ2" s="103" t="s">
        <v>232</v>
      </c>
      <c r="AK2" s="103" t="s">
        <v>232</v>
      </c>
      <c r="AL2" s="103" t="s">
        <v>232</v>
      </c>
      <c r="AM2" s="104" t="s">
        <v>233</v>
      </c>
      <c r="AN2" s="104" t="s">
        <v>234</v>
      </c>
      <c r="AO2" s="104" t="s">
        <v>235</v>
      </c>
    </row>
    <row r="3" customFormat="false" ht="15.75" hidden="false" customHeight="true" outlineLevel="0" collapsed="false">
      <c r="B3" s="101" t="s">
        <v>77</v>
      </c>
      <c r="C3" s="105" t="s">
        <v>136</v>
      </c>
      <c r="D3" s="105" t="s">
        <v>236</v>
      </c>
      <c r="E3" s="105" t="s">
        <v>237</v>
      </c>
      <c r="F3" s="105" t="s">
        <v>238</v>
      </c>
      <c r="G3" s="105" t="s">
        <v>239</v>
      </c>
      <c r="H3" s="105" t="s">
        <v>240</v>
      </c>
      <c r="I3" s="106" t="s">
        <v>241</v>
      </c>
      <c r="J3" s="106" t="s">
        <v>242</v>
      </c>
      <c r="K3" s="106" t="s">
        <v>243</v>
      </c>
      <c r="L3" s="106" t="s">
        <v>244</v>
      </c>
      <c r="M3" s="106" t="s">
        <v>245</v>
      </c>
      <c r="N3" s="106" t="s">
        <v>246</v>
      </c>
      <c r="O3" s="105" t="s">
        <v>136</v>
      </c>
      <c r="P3" s="105" t="s">
        <v>236</v>
      </c>
      <c r="Q3" s="105" t="s">
        <v>237</v>
      </c>
      <c r="R3" s="105" t="s">
        <v>238</v>
      </c>
      <c r="S3" s="105" t="s">
        <v>239</v>
      </c>
      <c r="T3" s="105" t="s">
        <v>240</v>
      </c>
      <c r="U3" s="106" t="s">
        <v>241</v>
      </c>
      <c r="V3" s="106" t="s">
        <v>242</v>
      </c>
      <c r="W3" s="106" t="s">
        <v>243</v>
      </c>
      <c r="X3" s="106" t="s">
        <v>244</v>
      </c>
      <c r="Y3" s="106" t="s">
        <v>245</v>
      </c>
      <c r="Z3" s="106" t="s">
        <v>246</v>
      </c>
      <c r="AA3" s="105" t="s">
        <v>136</v>
      </c>
      <c r="AB3" s="105" t="s">
        <v>236</v>
      </c>
      <c r="AC3" s="105" t="s">
        <v>237</v>
      </c>
      <c r="AD3" s="105" t="s">
        <v>238</v>
      </c>
      <c r="AE3" s="105" t="s">
        <v>239</v>
      </c>
      <c r="AF3" s="105" t="s">
        <v>240</v>
      </c>
      <c r="AG3" s="106" t="s">
        <v>241</v>
      </c>
      <c r="AH3" s="106" t="s">
        <v>242</v>
      </c>
      <c r="AI3" s="106" t="s">
        <v>243</v>
      </c>
      <c r="AJ3" s="106" t="s">
        <v>244</v>
      </c>
      <c r="AK3" s="106" t="s">
        <v>245</v>
      </c>
      <c r="AL3" s="106" t="s">
        <v>246</v>
      </c>
      <c r="AM3" s="104"/>
      <c r="AN3" s="104"/>
      <c r="AO3" s="104"/>
    </row>
    <row r="4" customFormat="false" ht="15.75" hidden="false" customHeight="true" outlineLevel="0" collapsed="false">
      <c r="B4" s="68" t="s">
        <v>247</v>
      </c>
      <c r="C4" s="68"/>
      <c r="D4" s="68"/>
      <c r="E4" s="68"/>
    </row>
    <row r="5" customFormat="false" ht="15" hidden="false" customHeight="true" outlineLevel="0" collapsed="false">
      <c r="B5" s="107" t="s">
        <v>248</v>
      </c>
      <c r="C5" s="108" t="n">
        <f aca="false">ROUND(Допущения!C13*Допущения!C35*Допущения!C47,0)</f>
        <v>12</v>
      </c>
      <c r="D5" s="108" t="n">
        <f aca="false">ROUND(Допущения!C13*Допущения!C36*Допущения!C47,0)</f>
        <v>16</v>
      </c>
      <c r="E5" s="108" t="n">
        <f aca="false">ROUND(Допущения!C13*Допущения!C37*Допущения!C47,0)</f>
        <v>12</v>
      </c>
      <c r="F5" s="108" t="n">
        <f aca="false">ROUND(Допущения!C13*Допущения!C38*Допущения!C47,0)</f>
        <v>12</v>
      </c>
      <c r="G5" s="108" t="n">
        <f aca="false">ROUND(Допущения!C13*Допущения!C39*Допущения!C47,0)</f>
        <v>20</v>
      </c>
      <c r="H5" s="108" t="n">
        <f aca="false">ROUND(Допущения!C13*Допущения!C40*Допущения!C47,0)</f>
        <v>8</v>
      </c>
      <c r="I5" s="108" t="s">
        <v>249</v>
      </c>
      <c r="J5" s="108" t="s">
        <v>249</v>
      </c>
      <c r="K5" s="108" t="s">
        <v>249</v>
      </c>
      <c r="L5" s="108" t="s">
        <v>249</v>
      </c>
      <c r="M5" s="108" t="s">
        <v>249</v>
      </c>
      <c r="N5" s="108" t="s">
        <v>249</v>
      </c>
      <c r="O5" s="108" t="n">
        <f aca="false">ROUND(Допущения!C13*Допущения!C35*Допущения!C48,0)</f>
        <v>14</v>
      </c>
      <c r="P5" s="108" t="n">
        <f aca="false">ROUND(Допущения!C13*Допущения!C36*Допущения!C48,0)</f>
        <v>18</v>
      </c>
      <c r="Q5" s="108" t="n">
        <f aca="false">ROUND(Допущения!C13*Допущения!C37*Допущения!C48,0)</f>
        <v>14</v>
      </c>
      <c r="R5" s="108" t="n">
        <f aca="false">ROUND(Допущения!C13*Допущения!C38*Допущения!C48,0)</f>
        <v>14</v>
      </c>
      <c r="S5" s="108" t="n">
        <f aca="false">ROUND(Допущения!C13*Допущения!C39*Допущения!C48,0)</f>
        <v>23</v>
      </c>
      <c r="T5" s="108" t="n">
        <f aca="false">ROUND(Допущения!C13*Допущения!C40*Допущения!C48,0)</f>
        <v>9</v>
      </c>
      <c r="U5" s="108" t="s">
        <v>249</v>
      </c>
      <c r="V5" s="108" t="s">
        <v>249</v>
      </c>
      <c r="W5" s="108" t="s">
        <v>249</v>
      </c>
      <c r="X5" s="108" t="s">
        <v>249</v>
      </c>
      <c r="Y5" s="108" t="s">
        <v>249</v>
      </c>
      <c r="Z5" s="108" t="s">
        <v>249</v>
      </c>
      <c r="AA5" s="108" t="n">
        <f aca="false">ROUND(Допущения!C13*Допущения!C35*Допущения!C49,0)</f>
        <v>15</v>
      </c>
      <c r="AB5" s="108" t="n">
        <f aca="false">ROUND(Допущения!C13*Допущения!C36*Допущения!C49,0)</f>
        <v>20</v>
      </c>
      <c r="AC5" s="108" t="n">
        <f aca="false">ROUND(Допущения!C13*Допущения!C37*Допущения!C49,0)</f>
        <v>15</v>
      </c>
      <c r="AD5" s="108" t="n">
        <f aca="false">ROUND(Допущения!C13*Допущения!C38*Допущения!C49,0)</f>
        <v>15</v>
      </c>
      <c r="AE5" s="108" t="n">
        <f aca="false">ROUND(Допущения!C13*Допущения!C39*Допущения!C49,0)</f>
        <v>25</v>
      </c>
      <c r="AF5" s="108" t="n">
        <f aca="false">ROUND(Допущения!C13*Допущения!C40*Допущения!C49,0)</f>
        <v>10</v>
      </c>
      <c r="AG5" s="108" t="s">
        <v>249</v>
      </c>
      <c r="AH5" s="108" t="s">
        <v>249</v>
      </c>
      <c r="AI5" s="108" t="s">
        <v>249</v>
      </c>
      <c r="AJ5" s="108" t="s">
        <v>249</v>
      </c>
      <c r="AK5" s="108" t="s">
        <v>249</v>
      </c>
      <c r="AL5" s="108" t="s">
        <v>249</v>
      </c>
      <c r="AM5" s="108" t="n">
        <f aca="false">SUM(C5:N5)</f>
        <v>80</v>
      </c>
      <c r="AN5" s="108" t="n">
        <f aca="false">SUM(O5:Z5)</f>
        <v>92</v>
      </c>
      <c r="AO5" s="108" t="n">
        <f aca="false">SUM(AA5:AL5)</f>
        <v>100</v>
      </c>
    </row>
    <row r="6" customFormat="false" ht="15" hidden="false" customHeight="true" outlineLevel="0" collapsed="false">
      <c r="B6" s="109" t="s">
        <v>250</v>
      </c>
      <c r="C6" s="110" t="n">
        <f aca="false">C5*Допущения!C21*(1+Допущения!C50)^1</f>
        <v>12299040</v>
      </c>
      <c r="D6" s="110" t="n">
        <f aca="false">D5*Допущения!C21*(1+Допущения!C50)^1</f>
        <v>16398720</v>
      </c>
      <c r="E6" s="110" t="n">
        <f aca="false">E5*Допущения!C21*(1+Допущения!C50)^1</f>
        <v>12299040</v>
      </c>
      <c r="F6" s="110" t="n">
        <f aca="false">F5*Допущения!C21*(1+Допущения!C50)^1</f>
        <v>12299040</v>
      </c>
      <c r="G6" s="110" t="n">
        <f aca="false">G5*Допущения!C21*(1+Допущения!C50)^1</f>
        <v>20498400</v>
      </c>
      <c r="H6" s="110" t="n">
        <f aca="false">H5*Допущения!C21*(1+Допущения!C50)^1</f>
        <v>8199360</v>
      </c>
      <c r="I6" s="110" t="s">
        <v>249</v>
      </c>
      <c r="J6" s="110" t="s">
        <v>249</v>
      </c>
      <c r="K6" s="110" t="s">
        <v>249</v>
      </c>
      <c r="L6" s="110" t="s">
        <v>249</v>
      </c>
      <c r="M6" s="110" t="s">
        <v>249</v>
      </c>
      <c r="N6" s="110" t="s">
        <v>249</v>
      </c>
      <c r="O6" s="110" t="n">
        <f aca="false">O5*Допущения!C21*(1+Допущения!C50)^2</f>
        <v>15496790.4</v>
      </c>
      <c r="P6" s="110" t="n">
        <f aca="false">P5*Допущения!C21*(1+Допущения!C50)^2</f>
        <v>19924444.8</v>
      </c>
      <c r="Q6" s="110" t="n">
        <f aca="false">Q5*Допущения!C21*(1+Допущения!C50)^2</f>
        <v>15496790.4</v>
      </c>
      <c r="R6" s="110" t="n">
        <f aca="false">R5*Допущения!C21*(1+Допущения!C50)^2</f>
        <v>15496790.4</v>
      </c>
      <c r="S6" s="110" t="n">
        <f aca="false">S5*Допущения!C21*(1+Допущения!C50)^2</f>
        <v>25459012.8</v>
      </c>
      <c r="T6" s="110" t="n">
        <f aca="false">T5*Допущения!C21*(1+Допущения!C50)^2</f>
        <v>9962222.4</v>
      </c>
      <c r="U6" s="110" t="s">
        <v>249</v>
      </c>
      <c r="V6" s="110" t="s">
        <v>249</v>
      </c>
      <c r="W6" s="110" t="s">
        <v>249</v>
      </c>
      <c r="X6" s="110" t="s">
        <v>249</v>
      </c>
      <c r="Y6" s="110" t="s">
        <v>249</v>
      </c>
      <c r="Z6" s="110" t="s">
        <v>249</v>
      </c>
      <c r="AA6" s="110" t="n">
        <f aca="false">AA5*Допущения!C21*(1+Допущения!C50)^3</f>
        <v>17932000.32</v>
      </c>
      <c r="AB6" s="110" t="n">
        <f aca="false">AB5*Допущения!C21*(1+Допущения!C50)^3</f>
        <v>23909333.76</v>
      </c>
      <c r="AC6" s="110" t="n">
        <f aca="false">AC5*Допущения!C21*(1+Допущения!C50)^3</f>
        <v>17932000.32</v>
      </c>
      <c r="AD6" s="110" t="n">
        <f aca="false">AD5*Допущения!C21*(1+Допущения!C50)^3</f>
        <v>17932000.32</v>
      </c>
      <c r="AE6" s="110" t="n">
        <f aca="false">AE5*Допущения!C21*(1+Допущения!C50)^3</f>
        <v>29886667.2</v>
      </c>
      <c r="AF6" s="110" t="n">
        <f aca="false">AF5*Допущения!C21*(1+Допущения!C50)^3</f>
        <v>11954666.88</v>
      </c>
      <c r="AG6" s="110" t="s">
        <v>249</v>
      </c>
      <c r="AH6" s="110" t="s">
        <v>249</v>
      </c>
      <c r="AI6" s="110" t="s">
        <v>249</v>
      </c>
      <c r="AJ6" s="110" t="s">
        <v>249</v>
      </c>
      <c r="AK6" s="110" t="s">
        <v>249</v>
      </c>
      <c r="AL6" s="110" t="s">
        <v>249</v>
      </c>
      <c r="AM6" s="110" t="n">
        <f aca="false">SUM(C6:N6)</f>
        <v>81993600</v>
      </c>
      <c r="AN6" s="110" t="n">
        <f aca="false">SUM(O6:Z6)</f>
        <v>101836051.2</v>
      </c>
      <c r="AO6" s="110" t="n">
        <f aca="false">SUM(AA6:AL6)</f>
        <v>119546668.8</v>
      </c>
    </row>
    <row r="7" customFormat="false" ht="15" hidden="false" customHeight="true" outlineLevel="0" collapsed="false">
      <c r="B7" s="111" t="s">
        <v>251</v>
      </c>
      <c r="C7" s="112" t="n">
        <f aca="false">C5*Допущения!C25</f>
        <v>3480000</v>
      </c>
      <c r="D7" s="112" t="n">
        <f aca="false">D5*Допущения!C25</f>
        <v>4640000</v>
      </c>
      <c r="E7" s="112" t="n">
        <f aca="false">E5*Допущения!C25</f>
        <v>3480000</v>
      </c>
      <c r="F7" s="112" t="n">
        <f aca="false">F5*Допущения!C25</f>
        <v>3480000</v>
      </c>
      <c r="G7" s="112" t="n">
        <f aca="false">G5*Допущения!C25</f>
        <v>5800000</v>
      </c>
      <c r="H7" s="112" t="n">
        <f aca="false">H5*Допущения!C25</f>
        <v>2320000</v>
      </c>
      <c r="I7" s="112" t="s">
        <v>249</v>
      </c>
      <c r="J7" s="112" t="s">
        <v>249</v>
      </c>
      <c r="K7" s="112" t="s">
        <v>249</v>
      </c>
      <c r="L7" s="112" t="s">
        <v>249</v>
      </c>
      <c r="M7" s="112" t="s">
        <v>249</v>
      </c>
      <c r="N7" s="112" t="s">
        <v>249</v>
      </c>
      <c r="O7" s="112" t="n">
        <f aca="false">O5*Допущения!C25</f>
        <v>4060000</v>
      </c>
      <c r="P7" s="112" t="n">
        <f aca="false">P5*Допущения!C25</f>
        <v>5220000</v>
      </c>
      <c r="Q7" s="112" t="n">
        <f aca="false">Q5*Допущения!C25</f>
        <v>4060000</v>
      </c>
      <c r="R7" s="112" t="n">
        <f aca="false">R5*Допущения!C25</f>
        <v>4060000</v>
      </c>
      <c r="S7" s="112" t="n">
        <f aca="false">S5*Допущения!C25</f>
        <v>6670000</v>
      </c>
      <c r="T7" s="112" t="n">
        <f aca="false">T5*Допущения!C25</f>
        <v>2610000</v>
      </c>
      <c r="U7" s="112" t="s">
        <v>249</v>
      </c>
      <c r="V7" s="112" t="s">
        <v>249</v>
      </c>
      <c r="W7" s="112" t="s">
        <v>249</v>
      </c>
      <c r="X7" s="112" t="s">
        <v>249</v>
      </c>
      <c r="Y7" s="112" t="s">
        <v>249</v>
      </c>
      <c r="Z7" s="112" t="s">
        <v>249</v>
      </c>
      <c r="AA7" s="112" t="n">
        <f aca="false">AA5*Допущения!C25</f>
        <v>4350000</v>
      </c>
      <c r="AB7" s="112" t="n">
        <f aca="false">AB5*Допущения!C25</f>
        <v>5800000</v>
      </c>
      <c r="AC7" s="112" t="n">
        <f aca="false">AC5*Допущения!C25</f>
        <v>4350000</v>
      </c>
      <c r="AD7" s="112" t="n">
        <f aca="false">AD5*Допущения!C25</f>
        <v>4350000</v>
      </c>
      <c r="AE7" s="112" t="n">
        <f aca="false">AE5*Допущения!C25</f>
        <v>7250000</v>
      </c>
      <c r="AF7" s="112" t="n">
        <f aca="false">AF5*Допущения!C25</f>
        <v>2900000</v>
      </c>
      <c r="AG7" s="112" t="s">
        <v>249</v>
      </c>
      <c r="AH7" s="112" t="s">
        <v>249</v>
      </c>
      <c r="AI7" s="112" t="s">
        <v>249</v>
      </c>
      <c r="AJ7" s="112" t="s">
        <v>249</v>
      </c>
      <c r="AK7" s="112" t="s">
        <v>249</v>
      </c>
      <c r="AL7" s="112" t="s">
        <v>249</v>
      </c>
      <c r="AM7" s="112" t="n">
        <f aca="false">SUM(C7:N7)</f>
        <v>23200000</v>
      </c>
      <c r="AN7" s="112" t="n">
        <f aca="false">SUM(O7:Z7)</f>
        <v>26680000</v>
      </c>
      <c r="AO7" s="112" t="n">
        <f aca="false">SUM(AA7:AL7)</f>
        <v>29000000</v>
      </c>
    </row>
    <row r="8" customFormat="false" ht="15" hidden="false" customHeight="true" outlineLevel="0" collapsed="false">
      <c r="B8" s="113" t="s">
        <v>252</v>
      </c>
      <c r="C8" s="114" t="n">
        <f aca="false">C6-C7</f>
        <v>8819040</v>
      </c>
      <c r="D8" s="114" t="n">
        <f aca="false">D6-D7</f>
        <v>11758720</v>
      </c>
      <c r="E8" s="114" t="n">
        <f aca="false">E6-E7</f>
        <v>8819040</v>
      </c>
      <c r="F8" s="114" t="n">
        <f aca="false">F6-F7</f>
        <v>8819040</v>
      </c>
      <c r="G8" s="114" t="n">
        <f aca="false">G6-G7</f>
        <v>14698400</v>
      </c>
      <c r="H8" s="114" t="n">
        <f aca="false">H6-H7</f>
        <v>5879360</v>
      </c>
      <c r="I8" s="114" t="n">
        <f aca="false">I6-I7</f>
        <v>0</v>
      </c>
      <c r="J8" s="114" t="n">
        <f aca="false">J6-J7</f>
        <v>0</v>
      </c>
      <c r="K8" s="114" t="n">
        <f aca="false">K6-K7</f>
        <v>0</v>
      </c>
      <c r="L8" s="114" t="n">
        <f aca="false">L6-L7</f>
        <v>0</v>
      </c>
      <c r="M8" s="114" t="n">
        <f aca="false">M6-M7</f>
        <v>0</v>
      </c>
      <c r="N8" s="114" t="n">
        <f aca="false">N6-N7</f>
        <v>0</v>
      </c>
      <c r="O8" s="114" t="n">
        <f aca="false">O6-O7</f>
        <v>11436790.4</v>
      </c>
      <c r="P8" s="114" t="n">
        <f aca="false">P6-P7</f>
        <v>14704444.8</v>
      </c>
      <c r="Q8" s="114" t="n">
        <f aca="false">Q6-Q7</f>
        <v>11436790.4</v>
      </c>
      <c r="R8" s="114" t="n">
        <f aca="false">R6-R7</f>
        <v>11436790.4</v>
      </c>
      <c r="S8" s="114" t="n">
        <f aca="false">S6-S7</f>
        <v>18789012.8</v>
      </c>
      <c r="T8" s="114" t="n">
        <f aca="false">T6-T7</f>
        <v>7352222.4</v>
      </c>
      <c r="U8" s="114" t="n">
        <f aca="false">U6-U7</f>
        <v>0</v>
      </c>
      <c r="V8" s="114" t="n">
        <f aca="false">V6-V7</f>
        <v>0</v>
      </c>
      <c r="W8" s="114" t="n">
        <f aca="false">W6-W7</f>
        <v>0</v>
      </c>
      <c r="X8" s="114" t="n">
        <f aca="false">X6-X7</f>
        <v>0</v>
      </c>
      <c r="Y8" s="114" t="n">
        <f aca="false">Y6-Y7</f>
        <v>0</v>
      </c>
      <c r="Z8" s="114" t="n">
        <f aca="false">Z6-Z7</f>
        <v>0</v>
      </c>
      <c r="AA8" s="114" t="n">
        <f aca="false">AA6-AA7</f>
        <v>13582000.32</v>
      </c>
      <c r="AB8" s="114" t="n">
        <f aca="false">AB6-AB7</f>
        <v>18109333.76</v>
      </c>
      <c r="AC8" s="114" t="n">
        <f aca="false">AC6-AC7</f>
        <v>13582000.32</v>
      </c>
      <c r="AD8" s="114" t="n">
        <f aca="false">AD6-AD7</f>
        <v>13582000.32</v>
      </c>
      <c r="AE8" s="114" t="n">
        <f aca="false">AE6-AE7</f>
        <v>22636667.2</v>
      </c>
      <c r="AF8" s="114" t="n">
        <f aca="false">AF6-AF7</f>
        <v>9054666.88</v>
      </c>
      <c r="AG8" s="114" t="n">
        <f aca="false">AG6-AG7</f>
        <v>0</v>
      </c>
      <c r="AH8" s="114" t="n">
        <f aca="false">AH6-AH7</f>
        <v>0</v>
      </c>
      <c r="AI8" s="114" t="n">
        <f aca="false">AI6-AI7</f>
        <v>0</v>
      </c>
      <c r="AJ8" s="114" t="n">
        <f aca="false">AJ6-AJ7</f>
        <v>0</v>
      </c>
      <c r="AK8" s="114" t="n">
        <f aca="false">AK6-AK7</f>
        <v>0</v>
      </c>
      <c r="AL8" s="114" t="n">
        <f aca="false">AL6-AL7</f>
        <v>0</v>
      </c>
      <c r="AM8" s="114" t="n">
        <f aca="false">AM6-AM7</f>
        <v>58793600</v>
      </c>
      <c r="AN8" s="114" t="n">
        <f aca="false">AN6-AN7</f>
        <v>75156051.2</v>
      </c>
      <c r="AO8" s="114" t="n">
        <f aca="false">AO6-AO7</f>
        <v>90546668.8</v>
      </c>
    </row>
    <row r="9" customFormat="false" ht="15" hidden="false" customHeight="true" outlineLevel="0" collapsed="false">
      <c r="B9" s="107" t="s">
        <v>253</v>
      </c>
      <c r="C9" s="115" t="n">
        <f aca="false">IFERROR(IF(C6=0,0,C8/C6),0)</f>
        <v>0.717051086914101</v>
      </c>
      <c r="D9" s="115" t="n">
        <f aca="false">IFERROR(IF(D6=0,0,D8/D6),0)</f>
        <v>0.717051086914101</v>
      </c>
      <c r="E9" s="115" t="n">
        <f aca="false">IFERROR(IF(E6=0,0,E8/E6),0)</f>
        <v>0.717051086914101</v>
      </c>
      <c r="F9" s="115" t="n">
        <f aca="false">IFERROR(IF(F6=0,0,F8/F6),0)</f>
        <v>0.717051086914101</v>
      </c>
      <c r="G9" s="115" t="n">
        <f aca="false">IFERROR(IF(G6=0,0,G8/G6),0)</f>
        <v>0.717051086914101</v>
      </c>
      <c r="H9" s="115" t="n">
        <f aca="false">IFERROR(IF(H6=0,0,H8/H6),0)</f>
        <v>0.717051086914101</v>
      </c>
      <c r="I9" s="115" t="n">
        <f aca="false">IFERROR(IF(I6=0,0,I8/I6),0)</f>
        <v>0</v>
      </c>
      <c r="J9" s="115" t="n">
        <f aca="false">IFERROR(IF(J6=0,0,J8/J6),0)</f>
        <v>0</v>
      </c>
      <c r="K9" s="115" t="n">
        <f aca="false">IFERROR(IF(K6=0,0,K8/K6),0)</f>
        <v>0</v>
      </c>
      <c r="L9" s="115" t="n">
        <f aca="false">IFERROR(IF(L6=0,0,L8/L6),0)</f>
        <v>0</v>
      </c>
      <c r="M9" s="115" t="n">
        <f aca="false">IFERROR(IF(M6=0,0,M8/M6),0)</f>
        <v>0</v>
      </c>
      <c r="N9" s="115" t="n">
        <f aca="false">IFERROR(IF(N6=0,0,N8/N6),0)</f>
        <v>0</v>
      </c>
      <c r="O9" s="115" t="n">
        <f aca="false">IFERROR(IF(O6=0,0,O8/O6),0)</f>
        <v>0.738010265661204</v>
      </c>
      <c r="P9" s="115" t="n">
        <f aca="false">IFERROR(IF(P6=0,0,P8/P6),0)</f>
        <v>0.738010265661204</v>
      </c>
      <c r="Q9" s="115" t="n">
        <f aca="false">IFERROR(IF(Q6=0,0,Q8/Q6),0)</f>
        <v>0.738010265661204</v>
      </c>
      <c r="R9" s="115" t="n">
        <f aca="false">IFERROR(IF(R6=0,0,R8/R6),0)</f>
        <v>0.738010265661204</v>
      </c>
      <c r="S9" s="115" t="n">
        <f aca="false">IFERROR(IF(S6=0,0,S8/S6),0)</f>
        <v>0.738010265661204</v>
      </c>
      <c r="T9" s="115" t="n">
        <f aca="false">IFERROR(IF(T6=0,0,T8/T6),0)</f>
        <v>0.738010265661204</v>
      </c>
      <c r="U9" s="115" t="n">
        <f aca="false">IFERROR(IF(U6=0,0,U8/U6),0)</f>
        <v>0</v>
      </c>
      <c r="V9" s="115" t="n">
        <f aca="false">IFERROR(IF(V6=0,0,V8/V6),0)</f>
        <v>0</v>
      </c>
      <c r="W9" s="115" t="n">
        <f aca="false">IFERROR(IF(W6=0,0,W8/W6),0)</f>
        <v>0</v>
      </c>
      <c r="X9" s="115" t="n">
        <f aca="false">IFERROR(IF(X6=0,0,X8/X6),0)</f>
        <v>0</v>
      </c>
      <c r="Y9" s="115" t="n">
        <f aca="false">IFERROR(IF(Y6=0,0,Y8/Y6),0)</f>
        <v>0</v>
      </c>
      <c r="Z9" s="115" t="n">
        <f aca="false">IFERROR(IF(Z6=0,0,Z8/Z6),0)</f>
        <v>0</v>
      </c>
      <c r="AA9" s="115" t="n">
        <f aca="false">IFERROR(IF(AA6=0,0,AA8/AA6),0)</f>
        <v>0.757416912649263</v>
      </c>
      <c r="AB9" s="115" t="n">
        <f aca="false">IFERROR(IF(AB6=0,0,AB8/AB6),0)</f>
        <v>0.757416912649263</v>
      </c>
      <c r="AC9" s="115" t="n">
        <f aca="false">IFERROR(IF(AC6=0,0,AC8/AC6),0)</f>
        <v>0.757416912649263</v>
      </c>
      <c r="AD9" s="115" t="n">
        <f aca="false">IFERROR(IF(AD6=0,0,AD8/AD6),0)</f>
        <v>0.757416912649263</v>
      </c>
      <c r="AE9" s="115" t="n">
        <f aca="false">IFERROR(IF(AE6=0,0,AE8/AE6),0)</f>
        <v>0.757416912649263</v>
      </c>
      <c r="AF9" s="115" t="n">
        <f aca="false">IFERROR(IF(AF6=0,0,AF8/AF6),0)</f>
        <v>0.757416912649263</v>
      </c>
      <c r="AG9" s="115" t="n">
        <f aca="false">IFERROR(IF(AG6=0,0,AG8/AG6),0)</f>
        <v>0</v>
      </c>
      <c r="AH9" s="115" t="n">
        <f aca="false">IFERROR(IF(AH6=0,0,AH8/AH6),0)</f>
        <v>0</v>
      </c>
      <c r="AI9" s="115" t="n">
        <f aca="false">IFERROR(IF(AI6=0,0,AI8/AI6),0)</f>
        <v>0</v>
      </c>
      <c r="AJ9" s="115" t="n">
        <f aca="false">IFERROR(IF(AJ6=0,0,AJ8/AJ6),0)</f>
        <v>0</v>
      </c>
      <c r="AK9" s="115" t="n">
        <f aca="false">IFERROR(IF(AK6=0,0,AK8/AK6),0)</f>
        <v>0</v>
      </c>
      <c r="AL9" s="115" t="n">
        <f aca="false">IFERROR(IF(AL6=0,0,AL8/AL6),0)</f>
        <v>0</v>
      </c>
      <c r="AM9" s="115" t="n">
        <f aca="false">IFERROR(IF(AM6=0,0,AM8/AM6),0)</f>
        <v>0.717051086914101</v>
      </c>
      <c r="AN9" s="115" t="n">
        <f aca="false">IFERROR(IF(AN6=0,0,AN8/AN6),0)</f>
        <v>0.738010265661204</v>
      </c>
      <c r="AO9" s="115" t="n">
        <f aca="false">IFERROR(IF(AO6=0,0,AO8/AO6),0)</f>
        <v>0.757416912649263</v>
      </c>
    </row>
    <row r="10" customFormat="false" ht="15.75" hidden="false" customHeight="true" outlineLevel="0" collapsed="false">
      <c r="B10" s="68" t="s">
        <v>254</v>
      </c>
      <c r="C10" s="68"/>
      <c r="D10" s="68"/>
      <c r="E10" s="68"/>
    </row>
    <row r="11" customFormat="false" ht="15" hidden="false" customHeight="true" outlineLevel="0" collapsed="false">
      <c r="B11" s="111" t="s">
        <v>255</v>
      </c>
      <c r="C11" s="112" t="n">
        <f aca="false">Допущения!C52+Допущения!C53/12</f>
        <v>241666.666666667</v>
      </c>
      <c r="D11" s="112" t="n">
        <f aca="false">Допущения!C52+Допущения!C53/12</f>
        <v>241666.666666667</v>
      </c>
      <c r="E11" s="112" t="n">
        <f aca="false">Допущения!C52+Допущения!C53/12</f>
        <v>241666.666666667</v>
      </c>
      <c r="F11" s="112" t="n">
        <f aca="false">Допущения!C52+Допущения!C53/12</f>
        <v>241666.666666667</v>
      </c>
      <c r="G11" s="112" t="n">
        <f aca="false">Допущения!C52+Допущения!C53/12</f>
        <v>241666.666666667</v>
      </c>
      <c r="H11" s="112" t="n">
        <f aca="false">Допущения!C52+Допущения!C53/12</f>
        <v>241666.666666667</v>
      </c>
      <c r="I11" s="112" t="n">
        <f aca="false">Допущения!C51+Допущения!C53/12</f>
        <v>341666.666666667</v>
      </c>
      <c r="J11" s="112" t="n">
        <f aca="false">Допущения!C51+Допущения!C53/12</f>
        <v>341666.666666667</v>
      </c>
      <c r="K11" s="112" t="n">
        <f aca="false">Допущения!C51+Допущения!C53/12</f>
        <v>341666.666666667</v>
      </c>
      <c r="L11" s="112" t="n">
        <f aca="false">Допущения!C51+Допущения!C53/12</f>
        <v>341666.666666667</v>
      </c>
      <c r="M11" s="112" t="n">
        <f aca="false">Допущения!C51+Допущения!C53/12</f>
        <v>341666.666666667</v>
      </c>
      <c r="N11" s="112" t="n">
        <f aca="false">Допущения!C51+Допущения!C53/12</f>
        <v>341666.666666667</v>
      </c>
      <c r="O11" s="112" t="n">
        <f aca="false">Допущения!C52+Допущения!C53/12</f>
        <v>241666.666666667</v>
      </c>
      <c r="P11" s="112" t="n">
        <f aca="false">Допущения!C52+Допущения!C53/12</f>
        <v>241666.666666667</v>
      </c>
      <c r="Q11" s="112" t="n">
        <f aca="false">Допущения!C52+Допущения!C53/12</f>
        <v>241666.666666667</v>
      </c>
      <c r="R11" s="112" t="n">
        <f aca="false">Допущения!C52+Допущения!C53/12</f>
        <v>241666.666666667</v>
      </c>
      <c r="S11" s="112" t="n">
        <f aca="false">Допущения!C52+Допущения!C53/12</f>
        <v>241666.666666667</v>
      </c>
      <c r="T11" s="112" t="n">
        <f aca="false">Допущения!C52+Допущения!C53/12</f>
        <v>241666.666666667</v>
      </c>
      <c r="U11" s="112" t="n">
        <f aca="false">Допущения!C51+Допущения!C53/12</f>
        <v>341666.666666667</v>
      </c>
      <c r="V11" s="112" t="n">
        <f aca="false">Допущения!C51+Допущения!C53/12</f>
        <v>341666.666666667</v>
      </c>
      <c r="W11" s="112" t="n">
        <f aca="false">Допущения!C51+Допущения!C53/12</f>
        <v>341666.666666667</v>
      </c>
      <c r="X11" s="112" t="n">
        <f aca="false">Допущения!C51+Допущения!C53/12</f>
        <v>341666.666666667</v>
      </c>
      <c r="Y11" s="112" t="n">
        <f aca="false">Допущения!C51+Допущения!C53/12</f>
        <v>341666.666666667</v>
      </c>
      <c r="Z11" s="112" t="n">
        <f aca="false">Допущения!C51+Допущения!C53/12</f>
        <v>341666.666666667</v>
      </c>
      <c r="AA11" s="112" t="n">
        <f aca="false">Допущения!C52+Допущения!C53/12</f>
        <v>241666.666666667</v>
      </c>
      <c r="AB11" s="112" t="n">
        <f aca="false">Допущения!C52+Допущения!C53/12</f>
        <v>241666.666666667</v>
      </c>
      <c r="AC11" s="112" t="n">
        <f aca="false">Допущения!C52+Допущения!C53/12</f>
        <v>241666.666666667</v>
      </c>
      <c r="AD11" s="112" t="n">
        <f aca="false">Допущения!C52+Допущения!C53/12</f>
        <v>241666.666666667</v>
      </c>
      <c r="AE11" s="112" t="n">
        <f aca="false">Допущения!C52+Допущения!C53/12</f>
        <v>241666.666666667</v>
      </c>
      <c r="AF11" s="112" t="n">
        <f aca="false">Допущения!C52+Допущения!C53/12</f>
        <v>241666.666666667</v>
      </c>
      <c r="AG11" s="112" t="n">
        <f aca="false">Допущения!C51+Допущения!C53/12</f>
        <v>341666.666666667</v>
      </c>
      <c r="AH11" s="112" t="n">
        <f aca="false">Допущения!C51+Допущения!C53/12</f>
        <v>341666.666666667</v>
      </c>
      <c r="AI11" s="112" t="n">
        <f aca="false">Допущения!C51+Допущения!C53/12</f>
        <v>341666.666666667</v>
      </c>
      <c r="AJ11" s="112" t="n">
        <f aca="false">Допущения!C51+Допущения!C53/12</f>
        <v>341666.666666667</v>
      </c>
      <c r="AK11" s="112" t="n">
        <f aca="false">Допущения!C51+Допущения!C53/12</f>
        <v>341666.666666667</v>
      </c>
      <c r="AL11" s="112" t="n">
        <f aca="false">Допущения!C51+Допущения!C53/12</f>
        <v>341666.666666667</v>
      </c>
      <c r="AM11" s="112" t="n">
        <f aca="false">SUM(C11:N11)</f>
        <v>3500000</v>
      </c>
      <c r="AN11" s="112" t="n">
        <f aca="false">SUM(O11:Z11)</f>
        <v>3500000</v>
      </c>
      <c r="AO11" s="112" t="n">
        <f aca="false">SUM(AA11:AL11)</f>
        <v>3500000</v>
      </c>
    </row>
    <row r="12" customFormat="false" ht="15" hidden="false" customHeight="true" outlineLevel="0" collapsed="false">
      <c r="B12" s="116" t="s">
        <v>256</v>
      </c>
      <c r="C12" s="117" t="n">
        <f aca="false">C8-C11</f>
        <v>8577373.33333333</v>
      </c>
      <c r="D12" s="117" t="n">
        <f aca="false">D8-D11</f>
        <v>11517053.3333333</v>
      </c>
      <c r="E12" s="117" t="n">
        <f aca="false">E8-E11</f>
        <v>8577373.33333333</v>
      </c>
      <c r="F12" s="117" t="n">
        <f aca="false">F8-F11</f>
        <v>8577373.33333333</v>
      </c>
      <c r="G12" s="117" t="n">
        <f aca="false">G8-G11</f>
        <v>14456733.3333333</v>
      </c>
      <c r="H12" s="117" t="n">
        <f aca="false">H8-H11</f>
        <v>5637693.33333333</v>
      </c>
      <c r="I12" s="117" t="n">
        <f aca="false">I8-I11</f>
        <v>-341666.666666667</v>
      </c>
      <c r="J12" s="117" t="n">
        <f aca="false">J8-J11</f>
        <v>-341666.666666667</v>
      </c>
      <c r="K12" s="117" t="n">
        <f aca="false">K8-K11</f>
        <v>-341666.666666667</v>
      </c>
      <c r="L12" s="117" t="n">
        <f aca="false">L8-L11</f>
        <v>-341666.666666667</v>
      </c>
      <c r="M12" s="117" t="n">
        <f aca="false">M8-M11</f>
        <v>-341666.666666667</v>
      </c>
      <c r="N12" s="117" t="n">
        <f aca="false">N8-N11</f>
        <v>-341666.666666667</v>
      </c>
      <c r="O12" s="117" t="n">
        <f aca="false">O8-O11</f>
        <v>11195123.7333333</v>
      </c>
      <c r="P12" s="117" t="n">
        <f aca="false">P8-P11</f>
        <v>14462778.1333333</v>
      </c>
      <c r="Q12" s="117" t="n">
        <f aca="false">Q8-Q11</f>
        <v>11195123.7333333</v>
      </c>
      <c r="R12" s="117" t="n">
        <f aca="false">R8-R11</f>
        <v>11195123.7333333</v>
      </c>
      <c r="S12" s="117" t="n">
        <f aca="false">S8-S11</f>
        <v>18547346.1333333</v>
      </c>
      <c r="T12" s="117" t="n">
        <f aca="false">T8-T11</f>
        <v>7110555.73333333</v>
      </c>
      <c r="U12" s="117" t="n">
        <f aca="false">U8-U11</f>
        <v>-341666.666666667</v>
      </c>
      <c r="V12" s="117" t="n">
        <f aca="false">V8-V11</f>
        <v>-341666.666666667</v>
      </c>
      <c r="W12" s="117" t="n">
        <f aca="false">W8-W11</f>
        <v>-341666.666666667</v>
      </c>
      <c r="X12" s="117" t="n">
        <f aca="false">X8-X11</f>
        <v>-341666.666666667</v>
      </c>
      <c r="Y12" s="117" t="n">
        <f aca="false">Y8-Y11</f>
        <v>-341666.666666667</v>
      </c>
      <c r="Z12" s="117" t="n">
        <f aca="false">Z8-Z11</f>
        <v>-341666.666666667</v>
      </c>
      <c r="AA12" s="117" t="n">
        <f aca="false">AA8-AA11</f>
        <v>13340333.6533333</v>
      </c>
      <c r="AB12" s="117" t="n">
        <f aca="false">AB8-AB11</f>
        <v>17867667.0933333</v>
      </c>
      <c r="AC12" s="117" t="n">
        <f aca="false">AC8-AC11</f>
        <v>13340333.6533333</v>
      </c>
      <c r="AD12" s="117" t="n">
        <f aca="false">AD8-AD11</f>
        <v>13340333.6533333</v>
      </c>
      <c r="AE12" s="117" t="n">
        <f aca="false">AE8-AE11</f>
        <v>22395000.5333333</v>
      </c>
      <c r="AF12" s="117" t="n">
        <f aca="false">AF8-AF11</f>
        <v>8813000.21333334</v>
      </c>
      <c r="AG12" s="117" t="n">
        <f aca="false">AG8-AG11</f>
        <v>-341666.666666667</v>
      </c>
      <c r="AH12" s="117" t="n">
        <f aca="false">AH8-AH11</f>
        <v>-341666.666666667</v>
      </c>
      <c r="AI12" s="117" t="n">
        <f aca="false">AI8-AI11</f>
        <v>-341666.666666667</v>
      </c>
      <c r="AJ12" s="117" t="n">
        <f aca="false">AJ8-AJ11</f>
        <v>-341666.666666667</v>
      </c>
      <c r="AK12" s="117" t="n">
        <f aca="false">AK8-AK11</f>
        <v>-341666.666666667</v>
      </c>
      <c r="AL12" s="117" t="n">
        <f aca="false">AL8-AL11</f>
        <v>-341666.666666667</v>
      </c>
      <c r="AM12" s="117" t="n">
        <f aca="false">AM8-AM11</f>
        <v>55293600</v>
      </c>
      <c r="AN12" s="117" t="n">
        <f aca="false">AN8-AN11</f>
        <v>71656051.2</v>
      </c>
      <c r="AO12" s="117" t="n">
        <f aca="false">AO8-AO11</f>
        <v>87046668.8</v>
      </c>
    </row>
    <row r="13" customFormat="false" ht="15" hidden="false" customHeight="true" outlineLevel="0" collapsed="false">
      <c r="B13" s="107" t="s">
        <v>257</v>
      </c>
      <c r="C13" s="118" t="n">
        <f aca="false">Допущения!C54/12</f>
        <v>785714.25</v>
      </c>
      <c r="D13" s="118" t="n">
        <f aca="false">Допущения!C54/12</f>
        <v>785714.25</v>
      </c>
      <c r="E13" s="118" t="n">
        <f aca="false">Допущения!C54/12</f>
        <v>785714.25</v>
      </c>
      <c r="F13" s="118" t="n">
        <f aca="false">Допущения!C54/12</f>
        <v>785714.25</v>
      </c>
      <c r="G13" s="118" t="n">
        <f aca="false">Допущения!C54/12</f>
        <v>785714.25</v>
      </c>
      <c r="H13" s="118" t="n">
        <f aca="false">Допущения!C54/12</f>
        <v>785714.25</v>
      </c>
      <c r="I13" s="118" t="n">
        <f aca="false">Допущения!C54/12</f>
        <v>785714.25</v>
      </c>
      <c r="J13" s="118" t="n">
        <f aca="false">Допущения!C54/12</f>
        <v>785714.25</v>
      </c>
      <c r="K13" s="118" t="n">
        <f aca="false">Допущения!C54/12</f>
        <v>785714.25</v>
      </c>
      <c r="L13" s="118" t="n">
        <f aca="false">Допущения!C54/12</f>
        <v>785714.25</v>
      </c>
      <c r="M13" s="118" t="n">
        <f aca="false">Допущения!C54/12</f>
        <v>785714.25</v>
      </c>
      <c r="N13" s="118" t="n">
        <f aca="false">Допущения!C54/12</f>
        <v>785714.25</v>
      </c>
      <c r="O13" s="118" t="n">
        <f aca="false">Допущения!C54/12</f>
        <v>785714.25</v>
      </c>
      <c r="P13" s="118" t="n">
        <f aca="false">Допущения!C54/12</f>
        <v>785714.25</v>
      </c>
      <c r="Q13" s="118" t="n">
        <f aca="false">Допущения!C54/12</f>
        <v>785714.25</v>
      </c>
      <c r="R13" s="118" t="n">
        <f aca="false">Допущения!C54/12</f>
        <v>785714.25</v>
      </c>
      <c r="S13" s="118" t="n">
        <f aca="false">Допущения!C54/12</f>
        <v>785714.25</v>
      </c>
      <c r="T13" s="118" t="n">
        <f aca="false">Допущения!C54/12</f>
        <v>785714.25</v>
      </c>
      <c r="U13" s="118" t="n">
        <f aca="false">Допущения!C54/12</f>
        <v>785714.25</v>
      </c>
      <c r="V13" s="118" t="n">
        <f aca="false">Допущения!C54/12</f>
        <v>785714.25</v>
      </c>
      <c r="W13" s="118" t="n">
        <f aca="false">Допущения!C54/12</f>
        <v>785714.25</v>
      </c>
      <c r="X13" s="118" t="n">
        <f aca="false">Допущения!C54/12</f>
        <v>785714.25</v>
      </c>
      <c r="Y13" s="118" t="n">
        <f aca="false">Допущения!C54/12</f>
        <v>785714.25</v>
      </c>
      <c r="Z13" s="118" t="n">
        <f aca="false">Допущения!C54/12</f>
        <v>785714.25</v>
      </c>
      <c r="AA13" s="118" t="n">
        <f aca="false">Допущения!C54/12</f>
        <v>785714.25</v>
      </c>
      <c r="AB13" s="118" t="n">
        <f aca="false">Допущения!C54/12</f>
        <v>785714.25</v>
      </c>
      <c r="AC13" s="118" t="n">
        <f aca="false">Допущения!C54/12</f>
        <v>785714.25</v>
      </c>
      <c r="AD13" s="118" t="n">
        <f aca="false">Допущения!C54/12</f>
        <v>785714.25</v>
      </c>
      <c r="AE13" s="118" t="n">
        <f aca="false">Допущения!C54/12</f>
        <v>785714.25</v>
      </c>
      <c r="AF13" s="118" t="n">
        <f aca="false">Допущения!C54/12</f>
        <v>785714.25</v>
      </c>
      <c r="AG13" s="118" t="n">
        <f aca="false">Допущения!C54/12</f>
        <v>785714.25</v>
      </c>
      <c r="AH13" s="118" t="n">
        <f aca="false">Допущения!C54/12</f>
        <v>785714.25</v>
      </c>
      <c r="AI13" s="118" t="n">
        <f aca="false">Допущения!C54/12</f>
        <v>785714.25</v>
      </c>
      <c r="AJ13" s="118" t="n">
        <f aca="false">Допущения!C54/12</f>
        <v>785714.25</v>
      </c>
      <c r="AK13" s="118" t="n">
        <f aca="false">Допущения!C54/12</f>
        <v>785714.25</v>
      </c>
      <c r="AL13" s="118" t="n">
        <f aca="false">Допущения!C54/12</f>
        <v>785714.25</v>
      </c>
      <c r="AM13" s="118" t="n">
        <f aca="false">SUM(C13:N13)</f>
        <v>9428571</v>
      </c>
      <c r="AN13" s="118" t="n">
        <f aca="false">SUM(O13:Z13)</f>
        <v>9428571</v>
      </c>
      <c r="AO13" s="118" t="n">
        <f aca="false">SUM(AA13:AL13)</f>
        <v>9428571</v>
      </c>
    </row>
    <row r="14" customFormat="false" ht="15" hidden="false" customHeight="true" outlineLevel="0" collapsed="false">
      <c r="B14" s="113" t="s">
        <v>258</v>
      </c>
      <c r="C14" s="114" t="n">
        <f aca="false">C12-C13</f>
        <v>7791659.08333333</v>
      </c>
      <c r="D14" s="114" t="n">
        <f aca="false">D12-D13</f>
        <v>10731339.0833333</v>
      </c>
      <c r="E14" s="114" t="n">
        <f aca="false">E12-E13</f>
        <v>7791659.08333333</v>
      </c>
      <c r="F14" s="114" t="n">
        <f aca="false">F12-F13</f>
        <v>7791659.08333333</v>
      </c>
      <c r="G14" s="114" t="n">
        <f aca="false">G12-G13</f>
        <v>13671019.0833333</v>
      </c>
      <c r="H14" s="114" t="n">
        <f aca="false">H12-H13</f>
        <v>4851979.08333333</v>
      </c>
      <c r="I14" s="114" t="n">
        <f aca="false">I12-I13</f>
        <v>-1127380.91666667</v>
      </c>
      <c r="J14" s="114" t="n">
        <f aca="false">J12-J13</f>
        <v>-1127380.91666667</v>
      </c>
      <c r="K14" s="114" t="n">
        <f aca="false">K12-K13</f>
        <v>-1127380.91666667</v>
      </c>
      <c r="L14" s="114" t="n">
        <f aca="false">L12-L13</f>
        <v>-1127380.91666667</v>
      </c>
      <c r="M14" s="114" t="n">
        <f aca="false">M12-M13</f>
        <v>-1127380.91666667</v>
      </c>
      <c r="N14" s="114" t="n">
        <f aca="false">N12-N13</f>
        <v>-1127380.91666667</v>
      </c>
      <c r="O14" s="114" t="n">
        <f aca="false">O12-O13</f>
        <v>10409409.4833333</v>
      </c>
      <c r="P14" s="114" t="n">
        <f aca="false">P12-P13</f>
        <v>13677063.8833333</v>
      </c>
      <c r="Q14" s="114" t="n">
        <f aca="false">Q12-Q13</f>
        <v>10409409.4833333</v>
      </c>
      <c r="R14" s="114" t="n">
        <f aca="false">R12-R13</f>
        <v>10409409.4833333</v>
      </c>
      <c r="S14" s="114" t="n">
        <f aca="false">S12-S13</f>
        <v>17761631.8833333</v>
      </c>
      <c r="T14" s="114" t="n">
        <f aca="false">T12-T13</f>
        <v>6324841.48333333</v>
      </c>
      <c r="U14" s="114" t="n">
        <f aca="false">U12-U13</f>
        <v>-1127380.91666667</v>
      </c>
      <c r="V14" s="114" t="n">
        <f aca="false">V12-V13</f>
        <v>-1127380.91666667</v>
      </c>
      <c r="W14" s="114" t="n">
        <f aca="false">W12-W13</f>
        <v>-1127380.91666667</v>
      </c>
      <c r="X14" s="114" t="n">
        <f aca="false">X12-X13</f>
        <v>-1127380.91666667</v>
      </c>
      <c r="Y14" s="114" t="n">
        <f aca="false">Y12-Y13</f>
        <v>-1127380.91666667</v>
      </c>
      <c r="Z14" s="114" t="n">
        <f aca="false">Z12-Z13</f>
        <v>-1127380.91666667</v>
      </c>
      <c r="AA14" s="114" t="n">
        <f aca="false">AA12-AA13</f>
        <v>12554619.4033333</v>
      </c>
      <c r="AB14" s="114" t="n">
        <f aca="false">AB12-AB13</f>
        <v>17081952.8433333</v>
      </c>
      <c r="AC14" s="114" t="n">
        <f aca="false">AC12-AC13</f>
        <v>12554619.4033333</v>
      </c>
      <c r="AD14" s="114" t="n">
        <f aca="false">AD12-AD13</f>
        <v>12554619.4033333</v>
      </c>
      <c r="AE14" s="114" t="n">
        <f aca="false">AE12-AE13</f>
        <v>21609286.2833333</v>
      </c>
      <c r="AF14" s="114" t="n">
        <f aca="false">AF12-AF13</f>
        <v>8027285.96333334</v>
      </c>
      <c r="AG14" s="114" t="n">
        <f aca="false">AG12-AG13</f>
        <v>-1127380.91666667</v>
      </c>
      <c r="AH14" s="114" t="n">
        <f aca="false">AH12-AH13</f>
        <v>-1127380.91666667</v>
      </c>
      <c r="AI14" s="114" t="n">
        <f aca="false">AI12-AI13</f>
        <v>-1127380.91666667</v>
      </c>
      <c r="AJ14" s="114" t="n">
        <f aca="false">AJ12-AJ13</f>
        <v>-1127380.91666667</v>
      </c>
      <c r="AK14" s="114" t="n">
        <f aca="false">AK12-AK13</f>
        <v>-1127380.91666667</v>
      </c>
      <c r="AL14" s="114" t="n">
        <f aca="false">AL12-AL13</f>
        <v>-1127380.91666667</v>
      </c>
      <c r="AM14" s="114" t="n">
        <f aca="false">AM12-AM13</f>
        <v>45865029</v>
      </c>
      <c r="AN14" s="114" t="n">
        <f aca="false">AN12-AN13</f>
        <v>62227480.2</v>
      </c>
      <c r="AO14" s="114" t="n">
        <f aca="false">AO12-AO13</f>
        <v>77618097.8</v>
      </c>
    </row>
    <row r="15" customFormat="false" ht="15" hidden="false" customHeight="true" outlineLevel="0" collapsed="false">
      <c r="B15" s="119" t="s">
        <v>259</v>
      </c>
      <c r="C15" s="120" t="n">
        <f aca="false">MAX(0,C14)*Допущения!C7</f>
        <v>6233327.26666667</v>
      </c>
      <c r="D15" s="120" t="n">
        <f aca="false">MAX(0,D14)*Допущения!C7</f>
        <v>8585071.26666667</v>
      </c>
      <c r="E15" s="120" t="n">
        <f aca="false">MAX(0,E14)*Допущения!C7</f>
        <v>6233327.26666667</v>
      </c>
      <c r="F15" s="120" t="n">
        <f aca="false">MAX(0,F14)*Допущения!C7</f>
        <v>6233327.26666667</v>
      </c>
      <c r="G15" s="120" t="n">
        <f aca="false">MAX(0,G14)*Допущения!C7</f>
        <v>10936815.2666667</v>
      </c>
      <c r="H15" s="120" t="n">
        <f aca="false">MAX(0,H14)*Допущения!C7</f>
        <v>3881583.26666667</v>
      </c>
      <c r="I15" s="120" t="n">
        <f aca="false">MAX(0,I14)*Допущения!C7</f>
        <v>0</v>
      </c>
      <c r="J15" s="120" t="n">
        <f aca="false">MAX(0,J14)*Допущения!C7</f>
        <v>0</v>
      </c>
      <c r="K15" s="120" t="n">
        <f aca="false">MAX(0,K14)*Допущения!C7</f>
        <v>0</v>
      </c>
      <c r="L15" s="120" t="n">
        <f aca="false">MAX(0,L14)*Допущения!C7</f>
        <v>0</v>
      </c>
      <c r="M15" s="120" t="n">
        <f aca="false">MAX(0,M14)*Допущения!C7</f>
        <v>0</v>
      </c>
      <c r="N15" s="120" t="n">
        <f aca="false">MAX(0,N14)*Допущения!C7</f>
        <v>0</v>
      </c>
      <c r="O15" s="120" t="n">
        <f aca="false">MAX(0,O14)*Допущения!C7</f>
        <v>8327527.58666667</v>
      </c>
      <c r="P15" s="120" t="n">
        <f aca="false">MAX(0,P14)*Допущения!C7</f>
        <v>10941651.1066667</v>
      </c>
      <c r="Q15" s="120" t="n">
        <f aca="false">MAX(0,Q14)*Допущения!C7</f>
        <v>8327527.58666667</v>
      </c>
      <c r="R15" s="120" t="n">
        <f aca="false">MAX(0,R14)*Допущения!C7</f>
        <v>8327527.58666667</v>
      </c>
      <c r="S15" s="120" t="n">
        <f aca="false">MAX(0,S14)*Допущения!C7</f>
        <v>14209305.5066667</v>
      </c>
      <c r="T15" s="120" t="n">
        <f aca="false">MAX(0,T14)*Допущения!C7</f>
        <v>5059873.18666667</v>
      </c>
      <c r="U15" s="120" t="n">
        <f aca="false">MAX(0,U14)*Допущения!C7</f>
        <v>0</v>
      </c>
      <c r="V15" s="120" t="n">
        <f aca="false">MAX(0,V14)*Допущения!C7</f>
        <v>0</v>
      </c>
      <c r="W15" s="120" t="n">
        <f aca="false">MAX(0,W14)*Допущения!C7</f>
        <v>0</v>
      </c>
      <c r="X15" s="120" t="n">
        <f aca="false">MAX(0,X14)*Допущения!C7</f>
        <v>0</v>
      </c>
      <c r="Y15" s="120" t="n">
        <f aca="false">MAX(0,Y14)*Допущения!C7</f>
        <v>0</v>
      </c>
      <c r="Z15" s="120" t="n">
        <f aca="false">MAX(0,Z14)*Допущения!C7</f>
        <v>0</v>
      </c>
      <c r="AA15" s="120" t="n">
        <f aca="false">MAX(0,AA14)*Допущения!C7</f>
        <v>10043695.5226667</v>
      </c>
      <c r="AB15" s="120" t="n">
        <f aca="false">MAX(0,AB14)*Допущения!C7</f>
        <v>13665562.2746667</v>
      </c>
      <c r="AC15" s="120" t="n">
        <f aca="false">MAX(0,AC14)*Допущения!C7</f>
        <v>10043695.5226667</v>
      </c>
      <c r="AD15" s="120" t="n">
        <f aca="false">MAX(0,AD14)*Допущения!C7</f>
        <v>10043695.5226667</v>
      </c>
      <c r="AE15" s="120" t="n">
        <f aca="false">MAX(0,AE14)*Допущения!C7</f>
        <v>17287429.0266667</v>
      </c>
      <c r="AF15" s="120" t="n">
        <f aca="false">MAX(0,AF14)*Допущения!C7</f>
        <v>6421828.77066667</v>
      </c>
      <c r="AG15" s="120" t="n">
        <f aca="false">MAX(0,AG14)*Допущения!C7</f>
        <v>0</v>
      </c>
      <c r="AH15" s="120" t="n">
        <f aca="false">MAX(0,AH14)*Допущения!C7</f>
        <v>0</v>
      </c>
      <c r="AI15" s="120" t="n">
        <f aca="false">MAX(0,AI14)*Допущения!C7</f>
        <v>0</v>
      </c>
      <c r="AJ15" s="120" t="n">
        <f aca="false">MAX(0,AJ14)*Допущения!C7</f>
        <v>0</v>
      </c>
      <c r="AK15" s="120" t="n">
        <f aca="false">MAX(0,AK14)*Допущения!C7</f>
        <v>0</v>
      </c>
      <c r="AL15" s="120" t="n">
        <f aca="false">MAX(0,AL14)*Допущения!C7</f>
        <v>0</v>
      </c>
      <c r="AM15" s="120" t="n">
        <f aca="false">MAX(0,AM14)*Допущения!C7</f>
        <v>36692023.2</v>
      </c>
      <c r="AN15" s="120" t="n">
        <f aca="false">MAX(0,AN14)*Допущения!C7</f>
        <v>49781984.16</v>
      </c>
      <c r="AO15" s="120" t="n">
        <f aca="false">MAX(0,AO14)*Допущения!C7</f>
        <v>62094478.24</v>
      </c>
    </row>
    <row r="16" customFormat="false" ht="15" hidden="false" customHeight="true" outlineLevel="0" collapsed="false">
      <c r="B16" s="111" t="s">
        <v>260</v>
      </c>
      <c r="C16" s="112" t="n">
        <f aca="false">C14-C15</f>
        <v>1558331.81666667</v>
      </c>
      <c r="D16" s="112" t="n">
        <f aca="false">D14-D15</f>
        <v>2146267.81666667</v>
      </c>
      <c r="E16" s="112" t="n">
        <f aca="false">E14-E15</f>
        <v>1558331.81666667</v>
      </c>
      <c r="F16" s="112" t="n">
        <f aca="false">F14-F15</f>
        <v>1558331.81666667</v>
      </c>
      <c r="G16" s="112" t="n">
        <f aca="false">G14-G15</f>
        <v>2734203.81666667</v>
      </c>
      <c r="H16" s="112" t="n">
        <f aca="false">H14-H15</f>
        <v>970395.816666666</v>
      </c>
      <c r="I16" s="112" t="n">
        <f aca="false">I14-I15</f>
        <v>-1127380.91666667</v>
      </c>
      <c r="J16" s="112" t="n">
        <f aca="false">J14-J15</f>
        <v>-1127380.91666667</v>
      </c>
      <c r="K16" s="112" t="n">
        <f aca="false">K14-K15</f>
        <v>-1127380.91666667</v>
      </c>
      <c r="L16" s="112" t="n">
        <f aca="false">L14-L15</f>
        <v>-1127380.91666667</v>
      </c>
      <c r="M16" s="112" t="n">
        <f aca="false">M14-M15</f>
        <v>-1127380.91666667</v>
      </c>
      <c r="N16" s="112" t="n">
        <f aca="false">N14-N15</f>
        <v>-1127380.91666667</v>
      </c>
      <c r="O16" s="112" t="n">
        <f aca="false">O14-O15</f>
        <v>2081881.89666667</v>
      </c>
      <c r="P16" s="112" t="n">
        <f aca="false">P14-P15</f>
        <v>2735412.77666667</v>
      </c>
      <c r="Q16" s="112" t="n">
        <f aca="false">Q14-Q15</f>
        <v>2081881.89666667</v>
      </c>
      <c r="R16" s="112" t="n">
        <f aca="false">R14-R15</f>
        <v>2081881.89666667</v>
      </c>
      <c r="S16" s="112" t="n">
        <f aca="false">S14-S15</f>
        <v>3552326.37666667</v>
      </c>
      <c r="T16" s="112" t="n">
        <f aca="false">T14-T15</f>
        <v>1264968.29666667</v>
      </c>
      <c r="U16" s="112" t="n">
        <f aca="false">U14-U15</f>
        <v>-1127380.91666667</v>
      </c>
      <c r="V16" s="112" t="n">
        <f aca="false">V14-V15</f>
        <v>-1127380.91666667</v>
      </c>
      <c r="W16" s="112" t="n">
        <f aca="false">W14-W15</f>
        <v>-1127380.91666667</v>
      </c>
      <c r="X16" s="112" t="n">
        <f aca="false">X14-X15</f>
        <v>-1127380.91666667</v>
      </c>
      <c r="Y16" s="112" t="n">
        <f aca="false">Y14-Y15</f>
        <v>-1127380.91666667</v>
      </c>
      <c r="Z16" s="112" t="n">
        <f aca="false">Z14-Z15</f>
        <v>-1127380.91666667</v>
      </c>
      <c r="AA16" s="112" t="n">
        <f aca="false">AA14-AA15</f>
        <v>2510923.88066667</v>
      </c>
      <c r="AB16" s="112" t="n">
        <f aca="false">AB14-AB15</f>
        <v>3416390.56866667</v>
      </c>
      <c r="AC16" s="112" t="n">
        <f aca="false">AC14-AC15</f>
        <v>2510923.88066667</v>
      </c>
      <c r="AD16" s="112" t="n">
        <f aca="false">AD14-AD15</f>
        <v>2510923.88066667</v>
      </c>
      <c r="AE16" s="112" t="n">
        <f aca="false">AE14-AE15</f>
        <v>4321857.25666667</v>
      </c>
      <c r="AF16" s="112" t="n">
        <f aca="false">AF14-AF15</f>
        <v>1605457.19266667</v>
      </c>
      <c r="AG16" s="112" t="n">
        <f aca="false">AG14-AG15</f>
        <v>-1127380.91666667</v>
      </c>
      <c r="AH16" s="112" t="n">
        <f aca="false">AH14-AH15</f>
        <v>-1127380.91666667</v>
      </c>
      <c r="AI16" s="112" t="n">
        <f aca="false">AI14-AI15</f>
        <v>-1127380.91666667</v>
      </c>
      <c r="AJ16" s="112" t="n">
        <f aca="false">AJ14-AJ15</f>
        <v>-1127380.91666667</v>
      </c>
      <c r="AK16" s="112" t="n">
        <f aca="false">AK14-AK15</f>
        <v>-1127380.91666667</v>
      </c>
      <c r="AL16" s="112" t="n">
        <f aca="false">AL14-AL15</f>
        <v>-1127380.91666667</v>
      </c>
      <c r="AM16" s="112" t="n">
        <f aca="false">AM14-AM15</f>
        <v>9173005.8</v>
      </c>
      <c r="AN16" s="112" t="n">
        <f aca="false">AN14-AN15</f>
        <v>12445496.04</v>
      </c>
      <c r="AO16" s="112" t="n">
        <f aca="false">AO14-AO15</f>
        <v>15523619.56</v>
      </c>
    </row>
  </sheetData>
  <mergeCells count="6">
    <mergeCell ref="B1:AN1"/>
    <mergeCell ref="AM2:AM3"/>
    <mergeCell ref="AN2:AN3"/>
    <mergeCell ref="AO2:AO3"/>
    <mergeCell ref="B4:E4"/>
    <mergeCell ref="B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B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"/>
    <col collapsed="false" customWidth="true" hidden="false" outlineLevel="0" max="5" min="3" style="1" width="20"/>
    <col collapsed="false" customWidth="true" hidden="false" outlineLevel="0" max="6" min="6" style="1" width="2"/>
  </cols>
  <sheetData>
    <row r="1" customFormat="false" ht="30" hidden="false" customHeight="true" outlineLevel="0" collapsed="false">
      <c r="B1" s="74" t="s">
        <v>261</v>
      </c>
      <c r="C1" s="74"/>
      <c r="D1" s="74"/>
      <c r="E1" s="74"/>
    </row>
    <row r="2" customFormat="false" ht="18" hidden="false" customHeight="true" outlineLevel="0" collapsed="false">
      <c r="B2" s="54" t="s">
        <v>11</v>
      </c>
      <c r="C2" s="54" t="s">
        <v>3</v>
      </c>
      <c r="D2" s="54" t="s">
        <v>262</v>
      </c>
      <c r="E2" s="54" t="s">
        <v>263</v>
      </c>
    </row>
    <row r="3" customFormat="false" ht="15.75" hidden="false" customHeight="true" outlineLevel="0" collapsed="false">
      <c r="B3" s="68" t="s">
        <v>264</v>
      </c>
      <c r="C3" s="68"/>
      <c r="D3" s="68"/>
      <c r="E3" s="68"/>
    </row>
    <row r="4" customFormat="false" ht="15" hidden="false" customHeight="true" outlineLevel="0" collapsed="false">
      <c r="B4" s="58" t="s">
        <v>54</v>
      </c>
      <c r="C4" s="59" t="n">
        <f aca="false">Допущения!C16</f>
        <v>80</v>
      </c>
      <c r="D4" s="59" t="n">
        <f aca="false">Допущения!C17</f>
        <v>100</v>
      </c>
      <c r="E4" s="59" t="n">
        <f aca="false">Допущения!C18</f>
        <v>120</v>
      </c>
    </row>
    <row r="5" customFormat="false" ht="15" hidden="false" customHeight="true" outlineLevel="0" collapsed="false">
      <c r="B5" s="56" t="s">
        <v>265</v>
      </c>
      <c r="C5" s="61" t="n">
        <f aca="false">Допущения!C16*Допущения!C21/1000000</f>
        <v>75.92</v>
      </c>
      <c r="D5" s="61" t="n">
        <f aca="false">Допущения!C17*Допущения!C21/1000000</f>
        <v>94.9</v>
      </c>
      <c r="E5" s="61" t="n">
        <f aca="false">Допущения!C18*Допущения!C21/1000000</f>
        <v>113.88</v>
      </c>
    </row>
    <row r="6" customFormat="false" ht="15" hidden="false" customHeight="true" outlineLevel="0" collapsed="false">
      <c r="B6" s="56" t="s">
        <v>266</v>
      </c>
      <c r="C6" s="61" t="n">
        <f aca="false">Допущения!C16*Допущения!C25/1000000</f>
        <v>23.2</v>
      </c>
      <c r="D6" s="61" t="n">
        <f aca="false">Допущения!C17*Допущения!C25/1000000</f>
        <v>29</v>
      </c>
      <c r="E6" s="61" t="n">
        <f aca="false">Допущения!C18*Допущения!C25/1000000</f>
        <v>34.8</v>
      </c>
    </row>
    <row r="7" customFormat="false" ht="15" hidden="false" customHeight="true" outlineLevel="0" collapsed="false">
      <c r="B7" s="121" t="s">
        <v>267</v>
      </c>
      <c r="C7" s="122" t="n">
        <f aca="false">Допущения!C16*Допущения!C26/1000000</f>
        <v>52.72</v>
      </c>
      <c r="D7" s="122" t="n">
        <f aca="false">Допущения!C17*Допущения!C26/1000000</f>
        <v>65.9</v>
      </c>
      <c r="E7" s="122" t="n">
        <f aca="false">Допущения!C18*Допущения!C26/1000000</f>
        <v>79.08</v>
      </c>
    </row>
    <row r="8" customFormat="false" ht="15" hidden="false" customHeight="true" outlineLevel="0" collapsed="false">
      <c r="B8" s="58" t="s">
        <v>268</v>
      </c>
      <c r="C8" s="61" t="n">
        <f aca="false">C7*Допущения!C7</f>
        <v>42.176</v>
      </c>
      <c r="D8" s="61" t="n">
        <f aca="false">D7*Допущения!C7</f>
        <v>52.72</v>
      </c>
      <c r="E8" s="61" t="n">
        <f aca="false">E7*Допущения!C7</f>
        <v>63.264</v>
      </c>
    </row>
    <row r="9" customFormat="false" ht="15" hidden="false" customHeight="true" outlineLevel="0" collapsed="false">
      <c r="B9" s="58" t="s">
        <v>269</v>
      </c>
      <c r="C9" s="89" t="n">
        <f aca="false">C8*1000000/Допущения!C5</f>
        <v>0.639030303030303</v>
      </c>
      <c r="D9" s="89" t="n">
        <f aca="false">D8*1000000/Допущения!C5</f>
        <v>0.798787878787879</v>
      </c>
      <c r="E9" s="89" t="n">
        <f aca="false">E8*1000000/Допущения!C5</f>
        <v>0.958545454545455</v>
      </c>
    </row>
    <row r="10" customFormat="false" ht="15" hidden="false" customHeight="true" outlineLevel="0" collapsed="false">
      <c r="B10" s="58" t="s">
        <v>270</v>
      </c>
      <c r="C10" s="123" t="n">
        <f aca="false">Допущения!C5/(C8*1000000)</f>
        <v>1.56487101669196</v>
      </c>
      <c r="D10" s="123" t="n">
        <f aca="false">Допущения!C5/(D8*1000000)</f>
        <v>1.25189681335357</v>
      </c>
      <c r="E10" s="123" t="n">
        <f aca="false">Допущения!C5/(E8*1000000)</f>
        <v>1.04324734446131</v>
      </c>
    </row>
    <row r="11" customFormat="false" ht="15.75" hidden="false" customHeight="true" outlineLevel="0" collapsed="false">
      <c r="B11" s="82" t="s">
        <v>271</v>
      </c>
      <c r="C11" s="82"/>
      <c r="D11" s="82"/>
      <c r="E11" s="82"/>
    </row>
    <row r="12" customFormat="false" ht="15" hidden="false" customHeight="true" outlineLevel="0" collapsed="false">
      <c r="B12" s="95" t="s">
        <v>272</v>
      </c>
      <c r="C12" s="61" t="n">
        <f aca="false">C7*Допущения!C9</f>
        <v>158.16</v>
      </c>
      <c r="D12" s="61" t="n">
        <f aca="false">D7*Допущения!C9</f>
        <v>197.7</v>
      </c>
      <c r="E12" s="61" t="n">
        <f aca="false">E7*Допущения!C9</f>
        <v>237.24</v>
      </c>
    </row>
    <row r="13" customFormat="false" ht="15" hidden="false" customHeight="true" outlineLevel="0" collapsed="false">
      <c r="B13" s="95" t="s">
        <v>273</v>
      </c>
      <c r="C13" s="124" t="n">
        <f aca="false">C12*Допущения!C6</f>
        <v>77.4984</v>
      </c>
      <c r="D13" s="124" t="n">
        <f aca="false">D12*Допущения!C6</f>
        <v>96.873</v>
      </c>
      <c r="E13" s="124" t="n">
        <f aca="false">E12*Допущения!C6</f>
        <v>116.2476</v>
      </c>
    </row>
    <row r="15" customFormat="false" ht="15.75" hidden="false" customHeight="true" outlineLevel="0" collapsed="false">
      <c r="B15" s="68" t="s">
        <v>274</v>
      </c>
      <c r="C15" s="68"/>
      <c r="D15" s="68"/>
      <c r="E15" s="68"/>
    </row>
    <row r="16" customFormat="false" ht="18" hidden="false" customHeight="true" outlineLevel="0" collapsed="false">
      <c r="B16" s="54" t="s">
        <v>11</v>
      </c>
      <c r="C16" s="54" t="s">
        <v>275</v>
      </c>
      <c r="D16" s="54" t="s">
        <v>276</v>
      </c>
      <c r="E16" s="54" t="s">
        <v>277</v>
      </c>
    </row>
    <row r="17" customFormat="false" ht="15" hidden="false" customHeight="true" outlineLevel="0" collapsed="false">
      <c r="B17" s="98" t="s">
        <v>278</v>
      </c>
      <c r="C17" s="125" t="n">
        <v>37.5</v>
      </c>
      <c r="D17" s="125" t="n">
        <v>50</v>
      </c>
      <c r="E17" s="125" t="n">
        <v>75</v>
      </c>
    </row>
    <row r="18" customFormat="false" ht="15" hidden="false" customHeight="true" outlineLevel="0" collapsed="false">
      <c r="B18" s="98" t="s">
        <v>279</v>
      </c>
      <c r="C18" s="125" t="n">
        <v>26.25</v>
      </c>
      <c r="D18" s="125" t="n">
        <v>35</v>
      </c>
      <c r="E18" s="125" t="n">
        <v>52.5</v>
      </c>
    </row>
    <row r="19" customFormat="false" ht="15" hidden="false" customHeight="true" outlineLevel="0" collapsed="false">
      <c r="B19" s="98" t="s">
        <v>280</v>
      </c>
      <c r="C19" s="80" t="n">
        <v>0.398</v>
      </c>
      <c r="D19" s="80" t="n">
        <v>0.53</v>
      </c>
      <c r="E19" s="80" t="n">
        <v>0.795</v>
      </c>
    </row>
    <row r="20" customFormat="false" ht="15" hidden="false" customHeight="true" outlineLevel="0" collapsed="false">
      <c r="B20" s="98" t="s">
        <v>281</v>
      </c>
      <c r="C20" s="81" t="n">
        <v>2.5</v>
      </c>
      <c r="D20" s="81" t="n">
        <v>2</v>
      </c>
      <c r="E20" s="81" t="n">
        <v>1.25</v>
      </c>
    </row>
    <row r="21" customFormat="false" ht="15" hidden="false" customHeight="true" outlineLevel="0" collapsed="false">
      <c r="B21" s="98" t="s">
        <v>282</v>
      </c>
      <c r="C21" s="125" t="n">
        <v>112.5</v>
      </c>
      <c r="D21" s="125" t="n">
        <v>150</v>
      </c>
      <c r="E21" s="125" t="n">
        <v>225</v>
      </c>
    </row>
    <row r="22" customFormat="false" ht="15" hidden="false" customHeight="true" outlineLevel="0" collapsed="false">
      <c r="B22" s="98" t="s">
        <v>283</v>
      </c>
      <c r="C22" s="125" t="n">
        <v>55.125</v>
      </c>
      <c r="D22" s="125" t="n">
        <v>73.5</v>
      </c>
      <c r="E22" s="125" t="n">
        <v>110.25</v>
      </c>
    </row>
    <row r="24" customFormat="false" ht="15.75" hidden="false" customHeight="true" outlineLevel="0" collapsed="false">
      <c r="B24" s="96" t="s">
        <v>284</v>
      </c>
      <c r="C24" s="96"/>
      <c r="D24" s="96"/>
      <c r="E24" s="96"/>
    </row>
    <row r="25" customFormat="false" ht="18" hidden="false" customHeight="true" outlineLevel="0" collapsed="false">
      <c r="B25" s="54" t="s">
        <v>11</v>
      </c>
      <c r="C25" s="54" t="s">
        <v>285</v>
      </c>
      <c r="D25" s="54" t="s">
        <v>286</v>
      </c>
      <c r="E25" s="54" t="s">
        <v>287</v>
      </c>
    </row>
    <row r="26" customFormat="false" ht="15" hidden="false" customHeight="true" outlineLevel="0" collapsed="false">
      <c r="B26" s="126" t="s">
        <v>288</v>
      </c>
      <c r="C26" s="61" t="n">
        <f aca="false">C7-C17</f>
        <v>15.22</v>
      </c>
      <c r="D26" s="61" t="n">
        <f aca="false">D7-D17</f>
        <v>15.9</v>
      </c>
      <c r="E26" s="61" t="n">
        <f aca="false">E7-E17</f>
        <v>4.08</v>
      </c>
    </row>
    <row r="27" customFormat="false" ht="15" hidden="false" customHeight="true" outlineLevel="0" collapsed="false">
      <c r="B27" s="126" t="s">
        <v>289</v>
      </c>
      <c r="C27" s="61" t="n">
        <f aca="false">C8-C18</f>
        <v>15.926</v>
      </c>
      <c r="D27" s="61" t="n">
        <f aca="false">D8-D18</f>
        <v>17.72</v>
      </c>
      <c r="E27" s="61" t="n">
        <f aca="false">E8-E18</f>
        <v>10.764</v>
      </c>
    </row>
  </sheetData>
  <mergeCells count="5">
    <mergeCell ref="B1:E1"/>
    <mergeCell ref="B3:E3"/>
    <mergeCell ref="B11:E11"/>
    <mergeCell ref="B15:E15"/>
    <mergeCell ref="B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951"/>
    <pageSetUpPr fitToPage="false"/>
  </sheetPr>
  <dimension ref="B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5" min="3" style="1" width="20"/>
    <col collapsed="false" customWidth="true" hidden="false" outlineLevel="0" max="6" min="6" style="1" width="2"/>
  </cols>
  <sheetData>
    <row r="1" customFormat="false" ht="30" hidden="false" customHeight="true" outlineLevel="0" collapsed="false">
      <c r="B1" s="74" t="s">
        <v>290</v>
      </c>
      <c r="C1" s="74"/>
      <c r="D1" s="74"/>
      <c r="E1" s="74"/>
    </row>
    <row r="2" customFormat="false" ht="15" hidden="false" customHeight="true" outlineLevel="0" collapsed="false">
      <c r="B2" s="75" t="s">
        <v>291</v>
      </c>
      <c r="C2" s="75"/>
      <c r="D2" s="75"/>
      <c r="E2" s="75"/>
    </row>
    <row r="4" customFormat="false" ht="15.75" hidden="false" customHeight="true" outlineLevel="0" collapsed="false">
      <c r="B4" s="82" t="s">
        <v>292</v>
      </c>
      <c r="C4" s="82"/>
      <c r="D4" s="82"/>
      <c r="E4" s="82"/>
    </row>
    <row r="5" customFormat="false" ht="15" hidden="false" customHeight="true" outlineLevel="0" collapsed="false">
      <c r="B5" s="95" t="s">
        <v>293</v>
      </c>
      <c r="C5" s="94" t="n">
        <v>1000000</v>
      </c>
      <c r="D5" s="79" t="s">
        <v>294</v>
      </c>
    </row>
    <row r="6" customFormat="false" ht="15" hidden="false" customHeight="true" outlineLevel="0" collapsed="false">
      <c r="B6" s="56" t="s">
        <v>295</v>
      </c>
      <c r="C6" s="89" t="n">
        <f aca="false">C5/Допущения!C5*Допущения!C6</f>
        <v>0.00742424242424242</v>
      </c>
      <c r="D6" s="79" t="s">
        <v>296</v>
      </c>
    </row>
    <row r="7" customFormat="false" ht="15" hidden="false" customHeight="true" outlineLevel="0" collapsed="false">
      <c r="B7" s="98" t="s">
        <v>102</v>
      </c>
      <c r="C7" s="57" t="n">
        <f aca="false">Допущения!C8</f>
        <v>1000000</v>
      </c>
    </row>
    <row r="9" customFormat="false" ht="15.75" hidden="false" customHeight="true" outlineLevel="0" collapsed="false">
      <c r="B9" s="68" t="s">
        <v>297</v>
      </c>
      <c r="C9" s="68"/>
      <c r="D9" s="68"/>
      <c r="E9" s="68"/>
    </row>
    <row r="10" customFormat="false" ht="18" hidden="false" customHeight="true" outlineLevel="0" collapsed="false">
      <c r="B10" s="54" t="s">
        <v>11</v>
      </c>
      <c r="C10" s="54" t="s">
        <v>275</v>
      </c>
      <c r="D10" s="54" t="s">
        <v>276</v>
      </c>
      <c r="E10" s="54" t="s">
        <v>277</v>
      </c>
    </row>
    <row r="11" customFormat="false" ht="15" hidden="false" customHeight="true" outlineLevel="0" collapsed="false">
      <c r="B11" s="56" t="s">
        <v>298</v>
      </c>
      <c r="C11" s="65" t="n">
        <f aca="false">Сценарии!C7</f>
        <v>52.72</v>
      </c>
      <c r="D11" s="65" t="n">
        <f aca="false">Сценарии!D7</f>
        <v>65.9</v>
      </c>
      <c r="E11" s="65" t="n">
        <f aca="false">Сценарии!E7</f>
        <v>79.08</v>
      </c>
    </row>
    <row r="12" customFormat="false" ht="15" hidden="false" customHeight="true" outlineLevel="0" collapsed="false">
      <c r="B12" s="58" t="s">
        <v>299</v>
      </c>
      <c r="C12" s="88" t="n">
        <f aca="false">C11*1000000*Допущения!C7*(C5/Допущения!C5)</f>
        <v>639030.303030303</v>
      </c>
      <c r="D12" s="88" t="n">
        <f aca="false">D11*1000000*Допущения!C7*(C5/Допущения!C5)</f>
        <v>798787.878787879</v>
      </c>
      <c r="E12" s="88" t="n">
        <f aca="false">E11*1000000*Допущения!C7*(C5/Допущения!C5)</f>
        <v>958545.454545455</v>
      </c>
    </row>
    <row r="13" customFormat="false" ht="15" hidden="false" customHeight="true" outlineLevel="0" collapsed="false">
      <c r="B13" s="58" t="s">
        <v>300</v>
      </c>
      <c r="C13" s="89" t="n">
        <f aca="false">C12/C5</f>
        <v>0.639030303030303</v>
      </c>
      <c r="D13" s="89" t="n">
        <f aca="false">D12/C5</f>
        <v>0.798787878787879</v>
      </c>
      <c r="E13" s="89" t="n">
        <f aca="false">E12/C5</f>
        <v>0.958545454545455</v>
      </c>
    </row>
    <row r="14" customFormat="false" ht="15" hidden="false" customHeight="true" outlineLevel="0" collapsed="false">
      <c r="B14" s="58" t="s">
        <v>82</v>
      </c>
      <c r="C14" s="123" t="n">
        <f aca="false">C5/C12</f>
        <v>1.56487101669196</v>
      </c>
      <c r="D14" s="123" t="n">
        <f aca="false">C5/D12</f>
        <v>1.25189681335357</v>
      </c>
      <c r="E14" s="123" t="n">
        <f aca="false">C5/E12</f>
        <v>1.04324734446131</v>
      </c>
    </row>
    <row r="16" customFormat="false" ht="15.75" hidden="false" customHeight="true" outlineLevel="0" collapsed="false">
      <c r="B16" s="127" t="s">
        <v>301</v>
      </c>
      <c r="C16" s="127"/>
      <c r="D16" s="127"/>
      <c r="E16" s="127"/>
    </row>
    <row r="17" customFormat="false" ht="18" hidden="false" customHeight="true" outlineLevel="0" collapsed="false">
      <c r="B17" s="54" t="s">
        <v>11</v>
      </c>
      <c r="C17" s="54" t="s">
        <v>275</v>
      </c>
      <c r="D17" s="54" t="s">
        <v>276</v>
      </c>
      <c r="E17" s="54" t="s">
        <v>277</v>
      </c>
    </row>
    <row r="18" customFormat="false" ht="15" hidden="false" customHeight="true" outlineLevel="0" collapsed="false">
      <c r="B18" s="128" t="s">
        <v>302</v>
      </c>
      <c r="C18" s="61" t="n">
        <f aca="false">Сценарии!C7</f>
        <v>52.72</v>
      </c>
      <c r="D18" s="61" t="n">
        <f aca="false">Сценарии!D7</f>
        <v>65.9</v>
      </c>
      <c r="E18" s="61" t="n">
        <f aca="false">Сценарии!E7</f>
        <v>79.08</v>
      </c>
    </row>
    <row r="19" customFormat="false" ht="15" hidden="false" customHeight="true" outlineLevel="0" collapsed="false">
      <c r="B19" s="56" t="s">
        <v>303</v>
      </c>
      <c r="C19" s="61" t="n">
        <f aca="false">C18*Допущения!C7</f>
        <v>42.176</v>
      </c>
      <c r="D19" s="61" t="n">
        <f aca="false">D18*Допущения!C7</f>
        <v>52.72</v>
      </c>
      <c r="E19" s="61" t="n">
        <f aca="false">E18*Допущения!C7</f>
        <v>63.264</v>
      </c>
    </row>
    <row r="20" customFormat="false" ht="15" hidden="false" customHeight="true" outlineLevel="0" collapsed="false">
      <c r="B20" s="56" t="s">
        <v>304</v>
      </c>
      <c r="C20" s="61" t="n">
        <f aca="false">MAX(0,Допущения!C5/1000000-C19)</f>
        <v>23.824</v>
      </c>
      <c r="D20" s="61" t="n">
        <f aca="false">MAX(0,Допущения!C5/1000000-D19)</f>
        <v>13.28</v>
      </c>
      <c r="E20" s="61" t="n">
        <f aca="false">MAX(0,Допущения!C5/1000000-E19)</f>
        <v>2.736</v>
      </c>
    </row>
    <row r="21" customFormat="false" ht="15" hidden="false" customHeight="true" outlineLevel="0" collapsed="false">
      <c r="B21" s="128" t="s">
        <v>305</v>
      </c>
      <c r="C21" s="61" t="n">
        <f aca="false">C18</f>
        <v>52.72</v>
      </c>
      <c r="D21" s="61" t="n">
        <f aca="false">D18</f>
        <v>65.9</v>
      </c>
      <c r="E21" s="61" t="n">
        <f aca="false">E18</f>
        <v>79.08</v>
      </c>
    </row>
    <row r="22" customFormat="false" ht="15" hidden="false" customHeight="true" outlineLevel="0" collapsed="false">
      <c r="B22" s="56" t="s">
        <v>306</v>
      </c>
      <c r="C22" s="61" t="n">
        <f aca="false">IF(C20&gt;0,C21*Допущения!C7,C21*Допущения!C6)</f>
        <v>42.176</v>
      </c>
      <c r="D22" s="61" t="n">
        <f aca="false">IF(D20&gt;0,D21*Допущения!C7,D21*Допущения!C6)</f>
        <v>52.72</v>
      </c>
      <c r="E22" s="61" t="n">
        <f aca="false">IF(E20&gt;0,E21*Допущения!C7,E21*Допущения!C6)</f>
        <v>63.264</v>
      </c>
    </row>
    <row r="23" customFormat="false" ht="15" hidden="false" customHeight="true" outlineLevel="0" collapsed="false">
      <c r="B23" s="56" t="s">
        <v>304</v>
      </c>
      <c r="C23" s="61" t="n">
        <f aca="false">MAX(0,C20-C22)</f>
        <v>0</v>
      </c>
      <c r="D23" s="61" t="n">
        <f aca="false">MAX(0,D20-D22)</f>
        <v>0</v>
      </c>
      <c r="E23" s="61" t="n">
        <f aca="false">MAX(0,E20-E22)</f>
        <v>0</v>
      </c>
    </row>
    <row r="24" customFormat="false" ht="15" hidden="false" customHeight="true" outlineLevel="0" collapsed="false">
      <c r="B24" s="128" t="s">
        <v>307</v>
      </c>
      <c r="C24" s="61" t="n">
        <f aca="false">C18</f>
        <v>52.72</v>
      </c>
      <c r="D24" s="61" t="n">
        <f aca="false">D18</f>
        <v>65.9</v>
      </c>
      <c r="E24" s="61" t="n">
        <f aca="false">E18</f>
        <v>79.08</v>
      </c>
    </row>
    <row r="25" customFormat="false" ht="15" hidden="false" customHeight="true" outlineLevel="0" collapsed="false">
      <c r="B25" s="56" t="s">
        <v>306</v>
      </c>
      <c r="C25" s="61" t="n">
        <f aca="false">IF(C23&gt;0,C24*Допущения!C7,C24*Допущения!C6)</f>
        <v>25.8328</v>
      </c>
      <c r="D25" s="61" t="n">
        <f aca="false">IF(D23&gt;0,D24*Допущения!C7,D24*Допущения!C6)</f>
        <v>32.291</v>
      </c>
      <c r="E25" s="61" t="n">
        <f aca="false">IF(E23&gt;0,E24*Допущения!C7,E24*Допущения!C6)</f>
        <v>38.7492</v>
      </c>
    </row>
    <row r="26" customFormat="false" ht="15" hidden="false" customHeight="true" outlineLevel="0" collapsed="false">
      <c r="B26" s="56" t="s">
        <v>304</v>
      </c>
      <c r="C26" s="61" t="n">
        <f aca="false">MAX(0,C23-C25)</f>
        <v>0</v>
      </c>
      <c r="D26" s="61" t="n">
        <f aca="false">MAX(0,D23-D25)</f>
        <v>0</v>
      </c>
      <c r="E26" s="61" t="n">
        <f aca="false">MAX(0,E23-E25)</f>
        <v>0</v>
      </c>
    </row>
    <row r="27" customFormat="false" ht="15" hidden="false" customHeight="true" outlineLevel="0" collapsed="false">
      <c r="B27" s="95" t="s">
        <v>308</v>
      </c>
      <c r="C27" s="122" t="n">
        <f aca="false">C19+C22+C25</f>
        <v>110.1848</v>
      </c>
      <c r="D27" s="122" t="n">
        <f aca="false">D19+D22+D25</f>
        <v>137.731</v>
      </c>
      <c r="E27" s="122" t="n">
        <f aca="false">E19+E22+E25</f>
        <v>165.2772</v>
      </c>
    </row>
  </sheetData>
  <mergeCells count="5">
    <mergeCell ref="B1:E1"/>
    <mergeCell ref="B2:E2"/>
    <mergeCell ref="B4:E4"/>
    <mergeCell ref="B9:E9"/>
    <mergeCell ref="B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B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5" min="3" style="1" width="20"/>
    <col collapsed="false" customWidth="true" hidden="false" outlineLevel="0" max="6" min="6" style="1" width="2"/>
  </cols>
  <sheetData>
    <row r="1" customFormat="false" ht="30" hidden="false" customHeight="true" outlineLevel="0" collapsed="false">
      <c r="B1" s="74" t="s">
        <v>309</v>
      </c>
      <c r="C1" s="74"/>
      <c r="D1" s="74"/>
      <c r="E1" s="74"/>
    </row>
    <row r="3" customFormat="false" ht="15.75" hidden="false" customHeight="true" outlineLevel="0" collapsed="false">
      <c r="B3" s="82" t="s">
        <v>310</v>
      </c>
      <c r="C3" s="82"/>
      <c r="D3" s="82"/>
      <c r="E3" s="82"/>
    </row>
    <row r="4" customFormat="false" ht="18" hidden="false" customHeight="true" outlineLevel="0" collapsed="false">
      <c r="B4" s="54" t="s">
        <v>11</v>
      </c>
      <c r="C4" s="54" t="s">
        <v>275</v>
      </c>
      <c r="D4" s="54" t="s">
        <v>276</v>
      </c>
      <c r="E4" s="54" t="s">
        <v>277</v>
      </c>
    </row>
    <row r="5" customFormat="false" ht="15" hidden="false" customHeight="true" outlineLevel="0" collapsed="false">
      <c r="B5" s="56" t="s">
        <v>311</v>
      </c>
      <c r="C5" s="61" t="n">
        <f aca="false">Сценарии!C7</f>
        <v>52.72</v>
      </c>
      <c r="D5" s="61" t="n">
        <f aca="false">Сценарии!D7</f>
        <v>65.9</v>
      </c>
      <c r="E5" s="61" t="n">
        <f aca="false">Сценарии!E7</f>
        <v>79.08</v>
      </c>
    </row>
    <row r="6" customFormat="false" ht="15" hidden="false" customHeight="true" outlineLevel="0" collapsed="false">
      <c r="B6" s="58" t="s">
        <v>312</v>
      </c>
      <c r="C6" s="61" t="n">
        <f aca="false">C5*Допущения!C9</f>
        <v>158.16</v>
      </c>
      <c r="D6" s="61" t="n">
        <f aca="false">D5*Допущения!C9</f>
        <v>197.7</v>
      </c>
      <c r="E6" s="61" t="n">
        <f aca="false">E5*Допущения!C9</f>
        <v>237.24</v>
      </c>
    </row>
    <row r="7" customFormat="false" ht="15" hidden="false" customHeight="true" outlineLevel="0" collapsed="false">
      <c r="B7" s="58" t="s">
        <v>313</v>
      </c>
      <c r="C7" s="124" t="n">
        <f aca="false">C6*Допущения!C6</f>
        <v>77.4984</v>
      </c>
      <c r="D7" s="124" t="n">
        <f aca="false">D6*Допущения!C6</f>
        <v>96.873</v>
      </c>
      <c r="E7" s="124" t="n">
        <f aca="false">E6*Допущения!C6</f>
        <v>116.2476</v>
      </c>
    </row>
    <row r="8" customFormat="false" ht="15" hidden="false" customHeight="true" outlineLevel="0" collapsed="false">
      <c r="B8" s="56" t="s">
        <v>314</v>
      </c>
      <c r="C8" s="61" t="n">
        <f aca="false">Допущения!C5/1000000</f>
        <v>66</v>
      </c>
      <c r="D8" s="61" t="n">
        <f aca="false">Допущения!C5/1000000</f>
        <v>66</v>
      </c>
      <c r="E8" s="61" t="n">
        <f aca="false">Допущения!C5/1000000</f>
        <v>66</v>
      </c>
    </row>
    <row r="9" customFormat="false" ht="15" hidden="false" customHeight="true" outlineLevel="0" collapsed="false">
      <c r="B9" s="56" t="s">
        <v>315</v>
      </c>
      <c r="C9" s="61" t="n">
        <f aca="false">C7-C8</f>
        <v>11.4984</v>
      </c>
      <c r="D9" s="61" t="n">
        <f aca="false">D7-D8</f>
        <v>30.873</v>
      </c>
      <c r="E9" s="61" t="n">
        <f aca="false">E7-E8</f>
        <v>50.2476</v>
      </c>
    </row>
    <row r="11" customFormat="false" ht="15.75" hidden="false" customHeight="true" outlineLevel="0" collapsed="false">
      <c r="B11" s="96" t="s">
        <v>316</v>
      </c>
      <c r="C11" s="96"/>
      <c r="D11" s="96"/>
      <c r="E11" s="96"/>
    </row>
    <row r="12" customFormat="false" ht="18" hidden="false" customHeight="true" outlineLevel="0" collapsed="false">
      <c r="B12" s="54" t="s">
        <v>11</v>
      </c>
      <c r="C12" s="54" t="s">
        <v>275</v>
      </c>
      <c r="D12" s="54" t="s">
        <v>276</v>
      </c>
      <c r="E12" s="54" t="s">
        <v>277</v>
      </c>
    </row>
    <row r="13" customFormat="false" ht="15" hidden="false" customHeight="true" outlineLevel="0" collapsed="false">
      <c r="B13" s="56" t="s">
        <v>317</v>
      </c>
      <c r="C13" s="65" t="n">
        <f aca="false">Инвестор!C27</f>
        <v>110.1848</v>
      </c>
      <c r="D13" s="65" t="n">
        <f aca="false">Инвестор!D27</f>
        <v>137.731</v>
      </c>
      <c r="E13" s="65" t="n">
        <f aca="false">Инвестор!E27</f>
        <v>165.2772</v>
      </c>
    </row>
    <row r="14" customFormat="false" ht="15" hidden="false" customHeight="true" outlineLevel="0" collapsed="false">
      <c r="B14" s="56" t="s">
        <v>318</v>
      </c>
      <c r="C14" s="65" t="n">
        <f aca="false">C7</f>
        <v>77.4984</v>
      </c>
      <c r="D14" s="65" t="n">
        <f aca="false">D7</f>
        <v>96.873</v>
      </c>
      <c r="E14" s="65" t="n">
        <f aca="false">E7</f>
        <v>116.2476</v>
      </c>
    </row>
    <row r="15" customFormat="false" ht="15" hidden="false" customHeight="true" outlineLevel="0" collapsed="false">
      <c r="B15" s="95" t="s">
        <v>319</v>
      </c>
      <c r="C15" s="122" t="n">
        <f aca="false">C13+C14</f>
        <v>187.6832</v>
      </c>
      <c r="D15" s="122" t="n">
        <f aca="false">D13+D14</f>
        <v>234.604</v>
      </c>
      <c r="E15" s="122" t="n">
        <f aca="false">E13+E14</f>
        <v>281.5248</v>
      </c>
    </row>
    <row r="16" customFormat="false" ht="15" hidden="false" customHeight="true" outlineLevel="0" collapsed="false">
      <c r="B16" s="58" t="s">
        <v>320</v>
      </c>
      <c r="C16" s="123" t="n">
        <f aca="false">C15*1000000/Допущения!C5</f>
        <v>2.84368484848485</v>
      </c>
      <c r="D16" s="123" t="n">
        <f aca="false">D15*1000000/Допущения!C5</f>
        <v>3.55460606060606</v>
      </c>
      <c r="E16" s="123" t="n">
        <f aca="false">E15*1000000/Допущения!C5</f>
        <v>4.26552727272727</v>
      </c>
    </row>
    <row r="18" customFormat="false" ht="15.75" hidden="false" customHeight="true" outlineLevel="0" collapsed="false">
      <c r="B18" s="129" t="s">
        <v>321</v>
      </c>
      <c r="C18" s="129"/>
      <c r="D18" s="129"/>
      <c r="E18" s="129"/>
    </row>
    <row r="19" customFormat="false" ht="18" hidden="false" customHeight="true" outlineLevel="0" collapsed="false">
      <c r="B19" s="54" t="s">
        <v>11</v>
      </c>
      <c r="C19" s="54" t="s">
        <v>275</v>
      </c>
      <c r="D19" s="54" t="s">
        <v>276</v>
      </c>
      <c r="E19" s="54" t="s">
        <v>277</v>
      </c>
    </row>
    <row r="20" customFormat="false" ht="15" hidden="false" customHeight="true" outlineLevel="0" collapsed="false">
      <c r="B20" s="130" t="s">
        <v>322</v>
      </c>
      <c r="C20" s="125" t="n">
        <v>133.6</v>
      </c>
      <c r="D20" s="125" t="n">
        <v>257</v>
      </c>
      <c r="E20" s="125" t="n">
        <v>352</v>
      </c>
    </row>
    <row r="21" customFormat="false" ht="15" hidden="false" customHeight="true" outlineLevel="0" collapsed="false">
      <c r="B21" s="130" t="s">
        <v>323</v>
      </c>
      <c r="C21" s="81" t="n">
        <v>2</v>
      </c>
      <c r="D21" s="81" t="n">
        <v>4</v>
      </c>
      <c r="E21" s="81" t="n">
        <v>5.5</v>
      </c>
    </row>
    <row r="22" customFormat="false" ht="15" hidden="false" customHeight="true" outlineLevel="0" collapsed="false">
      <c r="B22" s="131" t="s">
        <v>324</v>
      </c>
      <c r="C22" s="61" t="n">
        <f aca="false">C15-C20</f>
        <v>54.0832</v>
      </c>
      <c r="D22" s="61" t="n">
        <f aca="false">D15-D20</f>
        <v>-22.396</v>
      </c>
      <c r="E22" s="61" t="n">
        <f aca="false">E15-E20</f>
        <v>-70.4752</v>
      </c>
    </row>
    <row r="24" customFormat="false" ht="15.75" hidden="false" customHeight="true" outlineLevel="0" collapsed="false">
      <c r="B24" s="129" t="s">
        <v>325</v>
      </c>
      <c r="C24" s="129"/>
      <c r="D24" s="129"/>
      <c r="E24" s="129"/>
    </row>
    <row r="25" customFormat="false" ht="60" hidden="false" customHeight="true" outlineLevel="0" collapsed="false">
      <c r="B25" s="132" t="s">
        <v>326</v>
      </c>
      <c r="C25" s="132"/>
      <c r="D25" s="132"/>
      <c r="E25" s="132"/>
    </row>
  </sheetData>
  <mergeCells count="6">
    <mergeCell ref="B1:E1"/>
    <mergeCell ref="B3:E3"/>
    <mergeCell ref="B11:E11"/>
    <mergeCell ref="B18:E18"/>
    <mergeCell ref="B24:E24"/>
    <mergeCell ref="B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B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5"/>
    <col collapsed="false" customWidth="true" hidden="false" outlineLevel="0" max="5" min="3" style="1" width="20"/>
    <col collapsed="false" customWidth="true" hidden="false" outlineLevel="0" max="6" min="6" style="1" width="2"/>
  </cols>
  <sheetData>
    <row r="1" customFormat="false" ht="30" hidden="false" customHeight="true" outlineLevel="0" collapsed="false">
      <c r="B1" s="74" t="s">
        <v>327</v>
      </c>
      <c r="C1" s="74"/>
      <c r="D1" s="74"/>
      <c r="E1" s="74"/>
    </row>
    <row r="3" customFormat="false" ht="15.75" hidden="false" customHeight="true" outlineLevel="0" collapsed="false">
      <c r="B3" s="68" t="s">
        <v>328</v>
      </c>
      <c r="C3" s="68"/>
      <c r="D3" s="68"/>
      <c r="E3" s="68"/>
    </row>
    <row r="4" customFormat="false" ht="18" hidden="false" customHeight="true" outlineLevel="0" collapsed="false">
      <c r="B4" s="54" t="s">
        <v>329</v>
      </c>
      <c r="C4" s="54" t="s">
        <v>330</v>
      </c>
      <c r="D4" s="54" t="s">
        <v>331</v>
      </c>
      <c r="E4" s="54" t="s">
        <v>224</v>
      </c>
    </row>
    <row r="5" customFormat="false" ht="15" hidden="false" customHeight="true" outlineLevel="0" collapsed="false">
      <c r="B5" s="126" t="s">
        <v>332</v>
      </c>
      <c r="C5" s="88" t="n">
        <f aca="false">CAPEX!C11</f>
        <v>66000000</v>
      </c>
      <c r="D5" s="78" t="n">
        <v>66000000</v>
      </c>
      <c r="E5" s="133" t="str">
        <f aca="false">IF(ABS(C5-D5)&lt;1000,"✓ OK","⚠ ПРОВЕРИТЬ")</f>
        <v>✓ OK</v>
      </c>
    </row>
    <row r="6" customFormat="false" ht="15" hidden="false" customHeight="true" outlineLevel="0" collapsed="false">
      <c r="B6" s="126" t="s">
        <v>333</v>
      </c>
      <c r="C6" s="88" t="n">
        <f aca="false">Допущения!C21</f>
        <v>949000</v>
      </c>
      <c r="D6" s="78" t="n">
        <v>949000</v>
      </c>
      <c r="E6" s="133" t="str">
        <f aca="false">IF(ABS(C6-D6)&lt;1000,"✓ OK","⚠ ПРОВЕРИТЬ")</f>
        <v>✓ OK</v>
      </c>
    </row>
    <row r="7" customFormat="false" ht="15" hidden="false" customHeight="true" outlineLevel="0" collapsed="false">
      <c r="B7" s="126" t="s">
        <v>334</v>
      </c>
      <c r="C7" s="88" t="n">
        <f aca="false">Допущения!C25</f>
        <v>290000</v>
      </c>
      <c r="D7" s="78" t="n">
        <v>290000</v>
      </c>
      <c r="E7" s="133" t="str">
        <f aca="false">IF(ABS(C7-D7)&lt;1000,"✓ OK","⚠ ПРОВЕРИТЬ")</f>
        <v>✓ OK</v>
      </c>
    </row>
    <row r="8" customFormat="false" ht="15" hidden="false" customHeight="true" outlineLevel="0" collapsed="false">
      <c r="B8" s="126" t="s">
        <v>335</v>
      </c>
      <c r="C8" s="88" t="n">
        <f aca="false">Допущения!C26</f>
        <v>659000</v>
      </c>
      <c r="D8" s="78" t="n">
        <v>659000</v>
      </c>
      <c r="E8" s="133" t="str">
        <f aca="false">IF(ABS(C8-D8)&lt;1000,"✓ OK","⚠ ПРОВЕРИТЬ")</f>
        <v>✓ OK</v>
      </c>
    </row>
    <row r="9" customFormat="false" ht="15" hidden="false" customHeight="true" outlineLevel="0" collapsed="false">
      <c r="B9" s="126" t="s">
        <v>336</v>
      </c>
      <c r="C9" s="88" t="n">
        <f aca="false">Сценарии!C7*1000000</f>
        <v>52720000</v>
      </c>
      <c r="D9" s="78" t="n">
        <v>52700000</v>
      </c>
      <c r="E9" s="133" t="str">
        <f aca="false">IF(ABS(C9-D9)&lt;1000,"✓ OK","⚠ ПРОВЕРИТЬ")</f>
        <v>⚠ ПРОВЕРИТЬ</v>
      </c>
    </row>
    <row r="10" customFormat="false" ht="15" hidden="false" customHeight="true" outlineLevel="0" collapsed="false">
      <c r="B10" s="126" t="s">
        <v>337</v>
      </c>
      <c r="C10" s="88" t="n">
        <f aca="false">Сценарии!D7*1000000</f>
        <v>65900000</v>
      </c>
      <c r="D10" s="78" t="n">
        <v>65900000</v>
      </c>
      <c r="E10" s="133" t="str">
        <f aca="false">IF(ABS(C10-D10)&lt;1000,"✓ OK","⚠ ПРОВЕРИТЬ")</f>
        <v>✓ OK</v>
      </c>
    </row>
    <row r="11" customFormat="false" ht="15" hidden="false" customHeight="true" outlineLevel="0" collapsed="false">
      <c r="B11" s="126" t="s">
        <v>338</v>
      </c>
      <c r="C11" s="88" t="n">
        <f aca="false">Сценарии!E7*1000000</f>
        <v>79080000</v>
      </c>
      <c r="D11" s="78" t="n">
        <v>79080000</v>
      </c>
      <c r="E11" s="133" t="str">
        <f aca="false">IF(ABS(C11-D11)&lt;1000,"✓ OK","⚠ ПРОВЕРИТЬ")</f>
        <v>✓ OK</v>
      </c>
    </row>
    <row r="12" customFormat="false" ht="15" hidden="false" customHeight="true" outlineLevel="0" collapsed="false">
      <c r="B12" s="126" t="s">
        <v>339</v>
      </c>
      <c r="C12" s="88" t="n">
        <f aca="false">Сценарии!C8*1000000</f>
        <v>42176000</v>
      </c>
      <c r="D12" s="78" t="n">
        <v>42176000</v>
      </c>
      <c r="E12" s="133" t="str">
        <f aca="false">IF(ABS(C12-D12)&lt;1000,"✓ OK","⚠ ПРОВЕРИТЬ")</f>
        <v>✓ OK</v>
      </c>
    </row>
    <row r="13" customFormat="false" ht="15" hidden="false" customHeight="true" outlineLevel="0" collapsed="false">
      <c r="B13" s="126" t="s">
        <v>340</v>
      </c>
      <c r="C13" s="88" t="n">
        <f aca="false">Сценарии!D8*1000000</f>
        <v>52720000</v>
      </c>
      <c r="D13" s="78" t="n">
        <v>52720000</v>
      </c>
      <c r="E13" s="133" t="str">
        <f aca="false">IF(ABS(C13-D13)&lt;1000,"✓ OK","⚠ ПРОВЕРИТЬ")</f>
        <v>✓ OK</v>
      </c>
    </row>
    <row r="14" customFormat="false" ht="15" hidden="false" customHeight="true" outlineLevel="0" collapsed="false">
      <c r="B14" s="126" t="s">
        <v>341</v>
      </c>
      <c r="C14" s="88" t="n">
        <f aca="false">Сценарии!E8*1000000</f>
        <v>63264000</v>
      </c>
      <c r="D14" s="78" t="n">
        <v>63264000</v>
      </c>
      <c r="E14" s="133" t="str">
        <f aca="false">IF(ABS(C14-D14)&lt;1000,"✓ OK","⚠ ПРОВЕРИТЬ")</f>
        <v>✓ OK</v>
      </c>
    </row>
    <row r="15" customFormat="false" ht="15" hidden="false" customHeight="true" outlineLevel="0" collapsed="false">
      <c r="B15" s="126" t="s">
        <v>342</v>
      </c>
      <c r="C15" s="88" t="n">
        <f aca="false">Сценарии!C12*1000000</f>
        <v>158160000</v>
      </c>
      <c r="D15" s="78" t="n">
        <v>158160000</v>
      </c>
      <c r="E15" s="133" t="str">
        <f aca="false">IF(ABS(C15-D15)&lt;1000,"✓ OK","⚠ ПРОВЕРИТЬ")</f>
        <v>✓ OK</v>
      </c>
    </row>
    <row r="16" customFormat="false" ht="15" hidden="false" customHeight="true" outlineLevel="0" collapsed="false">
      <c r="B16" s="126" t="s">
        <v>343</v>
      </c>
      <c r="C16" s="88" t="n">
        <f aca="false">Сценарии!D12*1000000</f>
        <v>197700000</v>
      </c>
      <c r="D16" s="78" t="n">
        <v>197700000</v>
      </c>
      <c r="E16" s="133" t="str">
        <f aca="false">IF(ABS(C16-D16)&lt;1000,"✓ OK","⚠ ПРОВЕРИТЬ")</f>
        <v>✓ OK</v>
      </c>
    </row>
    <row r="17" customFormat="false" ht="15" hidden="false" customHeight="true" outlineLevel="0" collapsed="false">
      <c r="B17" s="126" t="s">
        <v>344</v>
      </c>
      <c r="C17" s="88" t="n">
        <f aca="false">Сценарии!E12*1000000</f>
        <v>237240000</v>
      </c>
      <c r="D17" s="78" t="n">
        <v>237240000</v>
      </c>
      <c r="E17" s="133" t="str">
        <f aca="false">IF(ABS(C17-D17)&lt;1000,"✓ OK","⚠ ПРОВЕРИТЬ")</f>
        <v>✓ OK</v>
      </c>
    </row>
    <row r="18" customFormat="false" ht="15" hidden="false" customHeight="true" outlineLevel="0" collapsed="false">
      <c r="B18" s="126" t="s">
        <v>345</v>
      </c>
      <c r="C18" s="88" t="n">
        <f aca="false">Сценарии!C13*1000000</f>
        <v>77498400</v>
      </c>
      <c r="D18" s="78" t="n">
        <v>77498400</v>
      </c>
      <c r="E18" s="133" t="str">
        <f aca="false">IF(ABS(C18-D18)&lt;1000,"✓ OK","⚠ ПРОВЕРИТЬ")</f>
        <v>✓ OK</v>
      </c>
    </row>
    <row r="19" customFormat="false" ht="15" hidden="false" customHeight="true" outlineLevel="0" collapsed="false">
      <c r="B19" s="126" t="s">
        <v>346</v>
      </c>
      <c r="C19" s="88" t="n">
        <f aca="false">Сценарии!D13*1000000</f>
        <v>96873000</v>
      </c>
      <c r="D19" s="78" t="n">
        <v>96873000</v>
      </c>
      <c r="E19" s="133" t="str">
        <f aca="false">IF(ABS(C19-D19)&lt;1000,"✓ OK","⚠ ПРОВЕРИТЬ")</f>
        <v>✓ OK</v>
      </c>
    </row>
    <row r="20" customFormat="false" ht="15" hidden="false" customHeight="true" outlineLevel="0" collapsed="false">
      <c r="B20" s="126" t="s">
        <v>347</v>
      </c>
      <c r="C20" s="88" t="n">
        <f aca="false">Сценарии!E13*1000000</f>
        <v>116247600</v>
      </c>
      <c r="D20" s="78" t="n">
        <v>116247600</v>
      </c>
      <c r="E20" s="133" t="str">
        <f aca="false">IF(ABS(C20-D20)&lt;1000,"✓ OK","⚠ ПРОВЕРИТЬ")</f>
        <v>✓ OK</v>
      </c>
    </row>
    <row r="21" customFormat="false" ht="15" hidden="false" customHeight="true" outlineLevel="0" collapsed="false">
      <c r="B21" s="126" t="s">
        <v>348</v>
      </c>
      <c r="C21" s="88" t="n">
        <f aca="false">Сценарии!C9</f>
        <v>0.639030303030303</v>
      </c>
      <c r="D21" s="80" t="n">
        <v>0.639</v>
      </c>
      <c r="E21" s="133" t="str">
        <f aca="false">IF(ABS(C21-D21)&lt;0.001,"✓ OK","⚠ ПРОВЕРИТЬ")</f>
        <v>✓ OK</v>
      </c>
    </row>
    <row r="22" customFormat="false" ht="15" hidden="false" customHeight="true" outlineLevel="0" collapsed="false">
      <c r="B22" s="126" t="s">
        <v>349</v>
      </c>
      <c r="C22" s="88" t="n">
        <f aca="false">Сценарии!D9</f>
        <v>0.798787878787879</v>
      </c>
      <c r="D22" s="80" t="n">
        <v>0.7988</v>
      </c>
      <c r="E22" s="133" t="str">
        <f aca="false">IF(ABS(C22-D22)&lt;0.001,"✓ OK","⚠ ПРОВЕРИТЬ")</f>
        <v>✓ OK</v>
      </c>
    </row>
    <row r="23" customFormat="false" ht="15" hidden="false" customHeight="true" outlineLevel="0" collapsed="false">
      <c r="B23" s="126" t="s">
        <v>350</v>
      </c>
      <c r="C23" s="88" t="n">
        <f aca="false">Сценарии!E9</f>
        <v>0.958545454545455</v>
      </c>
      <c r="D23" s="80" t="n">
        <v>0.9585</v>
      </c>
      <c r="E23" s="133" t="str">
        <f aca="false">IF(ABS(C23-D23)&lt;0.001,"✓ OK","⚠ ПРОВЕРИТЬ")</f>
        <v>✓ OK</v>
      </c>
    </row>
    <row r="24" customFormat="false" ht="15" hidden="false" customHeight="true" outlineLevel="0" collapsed="false">
      <c r="B24" s="126" t="s">
        <v>351</v>
      </c>
      <c r="C24" s="88" t="n">
        <f aca="false">Сценарии!C10</f>
        <v>1.56487101669196</v>
      </c>
      <c r="D24" s="81" t="n">
        <v>1.565</v>
      </c>
      <c r="E24" s="133" t="str">
        <f aca="false">IF(ABS(C24-D24)&lt;0.001,"✓ OK","⚠ ПРОВЕРИТЬ")</f>
        <v>✓ OK</v>
      </c>
    </row>
    <row r="25" customFormat="false" ht="15" hidden="false" customHeight="true" outlineLevel="0" collapsed="false">
      <c r="B25" s="126" t="s">
        <v>352</v>
      </c>
      <c r="C25" s="88" t="n">
        <f aca="false">Сценарии!D10</f>
        <v>1.25189681335357</v>
      </c>
      <c r="D25" s="80" t="n">
        <v>1.252</v>
      </c>
      <c r="E25" s="133" t="str">
        <f aca="false">IF(ABS(C25-D25)&lt;0.001,"✓ OK","⚠ ПРОВЕРИТЬ")</f>
        <v>✓ OK</v>
      </c>
    </row>
    <row r="26" customFormat="false" ht="15" hidden="false" customHeight="true" outlineLevel="0" collapsed="false">
      <c r="B26" s="126" t="s">
        <v>353</v>
      </c>
      <c r="C26" s="88" t="n">
        <f aca="false">Сценарии!E10</f>
        <v>1.04324734446131</v>
      </c>
      <c r="D26" s="80" t="n">
        <v>1.043</v>
      </c>
      <c r="E26" s="133" t="str">
        <f aca="false">IF(ABS(C26-D26)&lt;0.001,"✓ OK","⚠ ПРОВЕРИТЬ")</f>
        <v>✓ OK</v>
      </c>
    </row>
    <row r="27" customFormat="false" ht="15" hidden="false" customHeight="true" outlineLevel="0" collapsed="false">
      <c r="B27" s="126" t="s">
        <v>354</v>
      </c>
      <c r="C27" s="88" t="n">
        <f aca="false">Допущения!C43</f>
        <v>1</v>
      </c>
      <c r="D27" s="80" t="n">
        <v>1</v>
      </c>
      <c r="E27" s="133" t="str">
        <f aca="false">IF(ABS(C27-D27)&lt;0.001,"✓ OK","⚠ ПРОВЕРИТЬ")</f>
        <v>✓ OK</v>
      </c>
    </row>
    <row r="29" customFormat="false" ht="15.75" hidden="false" customHeight="true" outlineLevel="0" collapsed="false">
      <c r="B29" s="129" t="s">
        <v>355</v>
      </c>
      <c r="C29" s="129"/>
      <c r="D29" s="129"/>
      <c r="E29" s="129"/>
    </row>
    <row r="30" customFormat="false" ht="34.5" hidden="false" customHeight="true" outlineLevel="0" collapsed="false">
      <c r="B30" s="134" t="s">
        <v>356</v>
      </c>
      <c r="C30" s="135" t="s">
        <v>357</v>
      </c>
      <c r="D30" s="135"/>
      <c r="E30" s="135"/>
    </row>
    <row r="31" customFormat="false" ht="34.5" hidden="false" customHeight="true" outlineLevel="0" collapsed="false">
      <c r="B31" s="134" t="s">
        <v>358</v>
      </c>
      <c r="C31" s="135" t="s">
        <v>359</v>
      </c>
      <c r="D31" s="135"/>
      <c r="E31" s="135"/>
    </row>
    <row r="32" customFormat="false" ht="34.5" hidden="false" customHeight="true" outlineLevel="0" collapsed="false">
      <c r="B32" s="134" t="s">
        <v>360</v>
      </c>
      <c r="C32" s="135" t="s">
        <v>361</v>
      </c>
      <c r="D32" s="135"/>
      <c r="E32" s="135"/>
    </row>
    <row r="33" customFormat="false" ht="34.5" hidden="false" customHeight="true" outlineLevel="0" collapsed="false">
      <c r="B33" s="134" t="s">
        <v>362</v>
      </c>
      <c r="C33" s="135" t="s">
        <v>363</v>
      </c>
      <c r="D33" s="135"/>
      <c r="E33" s="135"/>
    </row>
  </sheetData>
  <mergeCells count="7">
    <mergeCell ref="B1:E1"/>
    <mergeCell ref="B3:E3"/>
    <mergeCell ref="B29:E29"/>
    <mergeCell ref="C30:E30"/>
    <mergeCell ref="C31:E31"/>
    <mergeCell ref="C32:E32"/>
    <mergeCell ref="C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2026-04-25T07:50:32Z</dcterms:created>
  <dc:creator>openpyxl</dc:creator>
  <dc:description/>
  <dc:language>en-US</dc:language>
  <cp:lastModifiedBy/>
  <dcterms:modified xsi:type="dcterms:W3CDTF">2026-04-25T08:21:39Z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